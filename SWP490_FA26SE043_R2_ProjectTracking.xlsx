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Issues" sheetId="2" r:id="rId5"/>
    <sheet state="visible" name="Defects" sheetId="3" r:id="rId6"/>
    <sheet state="visible" name="Q&amp;A" sheetId="4" r:id="rId7"/>
  </sheets>
  <definedNames>
    <definedName hidden="1" localSheetId="0" name="_xlnm._FilterDatabase">WBS!$A$7:$G$157</definedName>
    <definedName hidden="1" localSheetId="1" name="_xlnm._FilterDatabase">Issues!$B$3:$I$10</definedName>
  </definedNames>
  <calcPr/>
  <extLst>
    <ext uri="GoogleSheetsCustomDataVersion2">
      <go:sheetsCustomData xmlns:go="http://customooxmlschemas.google.com/" r:id="rId8" roundtripDataChecksum="dSRMVDdG7pRDQojlF2I1oJTmGiFgpyE0P1UKMaXYPm8="/>
    </ext>
  </extLst>
</workbook>
</file>

<file path=xl/sharedStrings.xml><?xml version="1.0" encoding="utf-8"?>
<sst xmlns="http://schemas.openxmlformats.org/spreadsheetml/2006/main" count="958" uniqueCount="380">
  <si>
    <t>PROJECT ISSUES</t>
  </si>
  <si>
    <t>#</t>
  </si>
  <si>
    <t>Issue</t>
  </si>
  <si>
    <t>Potential Impact</t>
  </si>
  <si>
    <t>PROJECT DEFECTS</t>
  </si>
  <si>
    <t>Priority</t>
  </si>
  <si>
    <t>Owner</t>
  </si>
  <si>
    <t>Open Date</t>
  </si>
  <si>
    <t>Close Date</t>
  </si>
  <si>
    <t>Status</t>
  </si>
  <si>
    <t>PROJECT Q&amp;A</t>
  </si>
  <si>
    <t>Notes</t>
  </si>
  <si>
    <t>Feature</t>
  </si>
  <si>
    <t>Date</t>
  </si>
  <si>
    <t>Function/Screen</t>
  </si>
  <si>
    <t>Question</t>
  </si>
  <si>
    <t>Tester</t>
  </si>
  <si>
    <t>By</t>
  </si>
  <si>
    <t>Defect Description</t>
  </si>
  <si>
    <t>Assign To</t>
  </si>
  <si>
    <t>Note (answer, other notes)</t>
  </si>
  <si>
    <t>PROJECT WORK BREAKDOWN STRUCTURE</t>
  </si>
  <si>
    <t>Pending</t>
  </si>
  <si>
    <t>Level*</t>
  </si>
  <si>
    <t>Function/Screen Details</t>
  </si>
  <si>
    <t>Planned</t>
  </si>
  <si>
    <t>Splash Screen</t>
  </si>
  <si>
    <t>Member / Authentication</t>
  </si>
  <si>
    <t>Simple</t>
  </si>
  <si>
    <t>Startup screen: validates the stored token and routes to Home or Login.</t>
  </si>
  <si>
    <t>Iteration 1</t>
  </si>
  <si>
    <t>Done</t>
  </si>
  <si>
    <t>Login</t>
  </si>
  <si>
    <t>Medium</t>
  </si>
  <si>
    <t>Email/password and Google sign-in; wrong password and locked account handling.</t>
  </si>
  <si>
    <t>Member Registration</t>
  </si>
  <si>
    <t>Member sign-up with field validation and duplicate email check.</t>
  </si>
  <si>
    <t>Email / OTP Verification</t>
  </si>
  <si>
    <t>Verifies the email with an OTP; wrong code, expiry and resend.</t>
  </si>
  <si>
    <t>Forgot Password</t>
  </si>
  <si>
    <t>Requests a password reset link by email.</t>
  </si>
  <si>
    <t>Reset Password</t>
  </si>
  <si>
    <t>Sets a new password from the emailed link; expired link handling.</t>
  </si>
  <si>
    <t>Change Password</t>
  </si>
  <si>
    <t>Changes the password from inside the account.</t>
  </si>
  <si>
    <t>Account Menu</t>
  </si>
  <si>
    <t>Member / Profile</t>
  </si>
  <si>
    <t>Entry point to wallet, consignment, orders, QR, settings, logout.</t>
  </si>
  <si>
    <t>Member Profile</t>
  </si>
  <si>
    <t>Shows profile fields and the verification state.</t>
  </si>
  <si>
    <t>Edit Profile</t>
  </si>
  <si>
    <t>Updates name, avatar and phone number.</t>
  </si>
  <si>
    <t>Member QR Code</t>
  </si>
  <si>
    <t>Shows the QR plus a text Member code for front-desk lookup.</t>
  </si>
  <si>
    <t>Doing</t>
  </si>
  <si>
    <t>Moderator Login (Web)</t>
  </si>
  <si>
    <t>Moderator / Auth &amp; Shell</t>
  </si>
  <si>
    <t>Web sign-in; no self-registration, accounts are created by Admin.</t>
  </si>
  <si>
    <t>Change Password (Web)</t>
  </si>
  <si>
    <t>Password change inside the settings page.</t>
  </si>
  <si>
    <t>Application Shell</t>
  </si>
  <si>
    <t>1440 web frame with left sidebar and header showing point name, bell and avatar.</t>
  </si>
  <si>
    <t>Organization Registration</t>
  </si>
  <si>
    <t>Organization / Authentication</t>
  </si>
  <si>
    <t>Complex</t>
  </si>
  <si>
    <t>Organization sign-up with legal document upload.</t>
  </si>
  <si>
    <t>Verification Status</t>
  </si>
  <si>
    <t>Pending, rejected with reason, or verified; allows resubmission.</t>
  </si>
  <si>
    <t>Consignment Form List</t>
  </si>
  <si>
    <t>Member / Consignment</t>
  </si>
  <si>
    <t>Forms grouped by status, with a warning at the 5 pending-form limit.</t>
  </si>
  <si>
    <t>Create Consignment Form - Item</t>
  </si>
  <si>
    <t>Step 1 capturing photos, brand, category, size, condition and expected price.</t>
  </si>
  <si>
    <t>Create Consignment Form - Point</t>
  </si>
  <si>
    <t>Step 2 selecting a consignment point, with nearest-point suggestion.</t>
  </si>
  <si>
    <t>Consignment Form Details</t>
  </si>
  <si>
    <t>Form detail whose CTA changes per state; rejection reason shown in full.</t>
  </si>
  <si>
    <t>Edit Pending Form</t>
  </si>
  <si>
    <t>Edits a form that is still awaiting review.</t>
  </si>
  <si>
    <t>View Consignment Receipt</t>
  </si>
  <si>
    <t>Full receipt terms showing the three commission tiers, floor price and unclaimed-goods clause.</t>
  </si>
  <si>
    <t>Accept Consignment Receipt</t>
  </si>
  <si>
    <t>Confirmation at the desk that decides whether the item is listed.</t>
  </si>
  <si>
    <t>Consigned Item List</t>
  </si>
  <si>
    <t>Consigned items grouped into lifecycle status tabs.</t>
  </si>
  <si>
    <t>Consigned Item Details</t>
  </si>
  <si>
    <t>SKU, point, price, current term, term end date, commission and expected payout.</t>
  </si>
  <si>
    <t>Reduce Selling Price</t>
  </si>
  <si>
    <t>Price reduction with floor-price, once-per-day and lower-than-current checks.</t>
  </si>
  <si>
    <t>End-of-Term Handling</t>
  </si>
  <si>
    <t>Member chooses to take the item back or re-consign; 30-day unclaimed warning.</t>
  </si>
  <si>
    <t>Re-consign - New Price</t>
  </si>
  <si>
    <t>Price re-negotiation with the moderator and a new receipt.</t>
  </si>
  <si>
    <t>Consignment Point Dashboard</t>
  </si>
  <si>
    <t>Counters and latest tasks, all scoped to the moderator's own point.</t>
  </si>
  <si>
    <t>Work Queue</t>
  </si>
  <si>
    <t>Moderator / Work Queue</t>
  </si>
  <si>
    <t>Task table across seven task types with unclaimed, mine, others and overdue filters.</t>
  </si>
  <si>
    <t>Claim / Release Task</t>
  </si>
  <si>
    <t>Claim and release a task; conditional update prevents two moderators handling one case.</t>
  </si>
  <si>
    <t>Member Lookup at Desk</t>
  </si>
  <si>
    <t>Moderator / Front Desk</t>
  </si>
  <si>
    <t>QR scan plus manual Member code or phone lookup.</t>
  </si>
  <si>
    <t>Identity Confirmation</t>
  </si>
  <si>
    <t>Name and avatar check, mandatory before any handover.</t>
  </si>
  <si>
    <t>Member Profile &amp; Pending Tasks</t>
  </si>
  <si>
    <t>Member profile listing pending intake, pickup and end-of-term tasks.</t>
  </si>
  <si>
    <t>Pending Consignment Forms</t>
  </si>
  <si>
    <t>Moderator / Inspection &amp; Intake</t>
  </si>
  <si>
    <t>Table of forms awaiting review.</t>
  </si>
  <si>
    <t>Form Review - Approve / Reject</t>
  </si>
  <si>
    <t>Photo-based review with approve, reject and reason capture.</t>
  </si>
  <si>
    <t>Start Inspection</t>
  </si>
  <si>
    <t>Compares the submitted form against the physical item.</t>
  </si>
  <si>
    <t>Record Inspection Result</t>
  </si>
  <si>
    <t>Checklist and verdict covering pass, fail, counterfeit and prohibited goods.</t>
  </si>
  <si>
    <t>Set Price &amp; Consignment Term</t>
  </si>
  <si>
    <t>Price agreement showing expected price, proposed price and the auto 50% floor.</t>
  </si>
  <si>
    <t>Iteration 2</t>
  </si>
  <si>
    <t>Return Item On the Spot</t>
  </si>
  <si>
    <t>Returns the item at the desk and records the reason.</t>
  </si>
  <si>
    <t>Await Member Receipt Confirmation</t>
  </si>
  <si>
    <t>Blocks stock-in until the member confirms the receipt in the app.</t>
  </si>
  <si>
    <t>Product Entry &amp; Stock-in</t>
  </si>
  <si>
    <t>Full product form with photo background removal for AI try-on.</t>
  </si>
  <si>
    <t>Quick-Add Brand</t>
  </si>
  <si>
    <t>Short modal that adds a brand without breaking the intake flow.</t>
  </si>
  <si>
    <t>Print SKU Label</t>
  </si>
  <si>
    <t>Label preview and print, with reprint.</t>
  </si>
  <si>
    <t>Re-consign - Set New Price</t>
  </si>
  <si>
    <t>New price agreement producing a new receipt while the item stays in stock.</t>
  </si>
  <si>
    <t>Stock List</t>
  </si>
  <si>
    <t>Moderator / Stock</t>
  </si>
  <si>
    <t>Stock table filtered by status and shelf location, scoped to the own point.</t>
  </si>
  <si>
    <t>Stock Item Details</t>
  </si>
  <si>
    <t>Item detail with the full stock-in and stock-out history.</t>
  </si>
  <si>
    <t>Scan Product QR</t>
  </si>
  <si>
    <t>QR lookup rejecting items from another point.</t>
  </si>
  <si>
    <t>Update Shelf Location</t>
  </si>
  <si>
    <t>Short modal with an occupied-location check.</t>
  </si>
  <si>
    <t>Unclaimed Item Handling</t>
  </si>
  <si>
    <t>Moderator / Handover</t>
  </si>
  <si>
    <t>Transfers unclaimed goods to a partner organization and records the evidence.</t>
  </si>
  <si>
    <t>Categories &amp; Brands</t>
  </si>
  <si>
    <t>Moderator / Catalog</t>
  </si>
  <si>
    <t>Two-tab data table; each category carries its Top/Bottom try-on slot.</t>
  </si>
  <si>
    <t>Add / Edit Category, Brand</t>
  </si>
  <si>
    <t>One modal for both creating and editing, with a duplicate-name check.</t>
  </si>
  <si>
    <t>Hide Category, Brand</t>
  </si>
  <si>
    <t>Hides instead of deleting, warning when items still use it.</t>
  </si>
  <si>
    <t>Product Home</t>
  </si>
  <si>
    <t>Member / Purchasing</t>
  </si>
  <si>
    <t>Product grid and search bar; only items with status LISTED are shown.</t>
  </si>
  <si>
    <t>Search &amp; Results</t>
  </si>
  <si>
    <t>Keyword search with results, no-result and search history states.</t>
  </si>
  <si>
    <t>Product Filters</t>
  </si>
  <si>
    <t>Bottom-sheet filter by category, brand, size, price and consignment point.</t>
  </si>
  <si>
    <t>Product Details</t>
  </si>
  <si>
    <t>Item detail with images and CTA; consignor identity is never shown.</t>
  </si>
  <si>
    <t>Shopping Cart</t>
  </si>
  <si>
    <t>Cart grouped by consignment point; unavailable items greyed out, not removed.</t>
  </si>
  <si>
    <t>Delivery Address List</t>
  </si>
  <si>
    <t>List of saved addresses with a default flag.</t>
  </si>
  <si>
    <t>Add / Edit Address</t>
  </si>
  <si>
    <t>One form used for both creating and editing an address.</t>
  </si>
  <si>
    <t>Checkout</t>
  </si>
  <si>
    <t>Confirmation page; splits the order per consignment point and reserves the items.</t>
  </si>
  <si>
    <t>MoMo Payment Result</t>
  </si>
  <si>
    <t>15-minute countdown with success, failure, expiry and late-webhook refund states.</t>
  </si>
  <si>
    <t>Order List</t>
  </si>
  <si>
    <t>Buyer orders grouped into status tabs.</t>
  </si>
  <si>
    <t>Order Details</t>
  </si>
  <si>
    <t>Order timeline with six status variants and state-dependent actions.</t>
  </si>
  <si>
    <t>Shipment Tracking</t>
  </si>
  <si>
    <t>GHN status timeline including the lost/failed shipment branch.</t>
  </si>
  <si>
    <t>Confirm Order Receipt</t>
  </si>
  <si>
    <t>Confirmation dialog that closes the delivery step.</t>
  </si>
  <si>
    <t>Rate Order Service</t>
  </si>
  <si>
    <t>1-5 star rating of the order service, read-only once submitted.</t>
  </si>
  <si>
    <t>Wallet - Balance &amp; History</t>
  </si>
  <si>
    <t>Member / Wallet</t>
  </si>
  <si>
    <t>Balance header separating total and available balance, with the transaction list.</t>
  </si>
  <si>
    <t>Transaction Details</t>
  </si>
  <si>
    <t>Single wallet transaction with money-in, money-out and failed states.</t>
  </si>
  <si>
    <t>Revenue by Order</t>
  </si>
  <si>
    <t>Per-order breakdown of sale price minus commission and tax.</t>
  </si>
  <si>
    <t>Create Payout Request</t>
  </si>
  <si>
    <t>Payout form validating the 10,000d minimum, available balance and 3-per-day limit.</t>
  </si>
  <si>
    <t>Payout Request Details</t>
  </si>
  <si>
    <t>Payout status across PENDING, PROCESSING, SUCCESS and FAILED.</t>
  </si>
  <si>
    <t>Packing Queue</t>
  </si>
  <si>
    <t>Moderator / Order &amp; Packing</t>
  </si>
  <si>
    <t>Orders awaiting packing, highlighting overdue ones.</t>
  </si>
  <si>
    <t>Order Details (Warehouse)</t>
  </si>
  <si>
    <t>Warehouse order view across packing, waybill and handover states.</t>
  </si>
  <si>
    <t>SKU Scan Check</t>
  </si>
  <si>
    <t>Scan each SKU against the order checklist to prevent shipping the wrong item.</t>
  </si>
  <si>
    <t>Create &amp; Print GHN Waybill</t>
  </si>
  <si>
    <t>Waybill preview, GHN call with retry, and tracking code display.</t>
  </si>
  <si>
    <t>Handover at Desk</t>
  </si>
  <si>
    <t>One handover screen for withdrawal, end-of-term pickup and rejected returns.</t>
  </si>
  <si>
    <t>Create Return Request</t>
  </si>
  <si>
    <t>Member / Return</t>
  </si>
  <si>
    <t>Return form requiring a reason and photos; blocked after the 3-day window.</t>
  </si>
  <si>
    <t>Iteration 3</t>
  </si>
  <si>
    <t>Return Request Details</t>
  </si>
  <si>
    <t>Return timeline covering approval, handover, inspection and refund branches.</t>
  </si>
  <si>
    <t>Return Handover Guide</t>
  </si>
  <si>
    <t>Instructions and waybill code for handing the parcel to GHN.</t>
  </si>
  <si>
    <t>Choose Rejected-Return Delivery</t>
  </si>
  <si>
    <t>Buyer picks re-delivery at own cost or pickup at the consignment point.</t>
  </si>
  <si>
    <t>Create Item Withdrawal Request</t>
  </si>
  <si>
    <t>Withdrawal request stating clearly whether the 7-day free window applies.</t>
  </si>
  <si>
    <t>Pay Withdrawal Fee</t>
  </si>
  <si>
    <t>Pays the fee from the wallet, topping up through MoMo when short.</t>
  </si>
  <si>
    <t>Withdrawal Request Details</t>
  </si>
  <si>
    <t>Request timeline with the 7-day pickup countdown and expiry.</t>
  </si>
  <si>
    <t>Damaged Item Handling</t>
  </si>
  <si>
    <t>Member picks compensation or the item back plus partial compensation.</t>
  </si>
  <si>
    <t>Return Request Queue</t>
  </si>
  <si>
    <t>Moderator / Return</t>
  </si>
  <si>
    <t>Return requests awaiting handling, highlighting overdue ones.</t>
  </si>
  <si>
    <t>Return Review - Approve</t>
  </si>
  <si>
    <t>Buyer photos next to order data, with approve, reject and auto-cancel branches.</t>
  </si>
  <si>
    <t>Inspect Returned Item</t>
  </si>
  <si>
    <t>Checks the returned item against its condition at dispatch.</t>
  </si>
  <si>
    <t>Decide Returned-Item Outcome</t>
  </si>
  <si>
    <t>Relist, return to consignor or destroy.</t>
  </si>
  <si>
    <t>Counterfeit Case - Second Moderator</t>
  </si>
  <si>
    <t>Mandatory second opinion before any counterfeit conclusion.</t>
  </si>
  <si>
    <t>Counterfeit Conclusion</t>
  </si>
  <si>
    <t>Refunds the buyer and destroys the item; honest consignor is not penalised.</t>
  </si>
  <si>
    <t>Damaged-Item Conclusion &amp; Compensation</t>
  </si>
  <si>
    <t>Records the conclusion and the compensation amount offered to the member.</t>
  </si>
  <si>
    <t>Lost Return Handling</t>
  </si>
  <si>
    <t>Records a lost return shipment and refunds the buyer.</t>
  </si>
  <si>
    <t>Notifications</t>
  </si>
  <si>
    <t>Notification list with read/unread and empty state.</t>
  </si>
  <si>
    <t>Try-On Room</t>
  </si>
  <si>
    <t>Member / AI Try-On</t>
  </si>
  <si>
    <t>Model canvas with two slots; the item being viewed is locked into its slot.</t>
  </si>
  <si>
    <t>Pick Item for Empty Slot</t>
  </si>
  <si>
    <t>Picker grid suggesting matching items for the missing slot.</t>
  </si>
  <si>
    <t>Generating Image</t>
  </si>
  <si>
    <t>Progress screen for image generation with retry and background modes.</t>
  </si>
  <si>
    <t>Try-On Result</t>
  </si>
  <si>
    <t>Generated outfit image with buy-single or add-whole-outfit actions.</t>
  </si>
  <si>
    <t>Try-On Collection</t>
  </si>
  <si>
    <t>Grid of saved try-on images with an empty state.</t>
  </si>
  <si>
    <t>View &amp; Delete Try-On Image</t>
  </si>
  <si>
    <t>Full-screen image with a delete confirmation.</t>
  </si>
  <si>
    <t>Community Newsfeed</t>
  </si>
  <si>
    <t>Member / Community</t>
  </si>
  <si>
    <t>Feed of posts from followed organizations.</t>
  </si>
  <si>
    <t>Post Details</t>
  </si>
  <si>
    <t>Post content with likes and comments.</t>
  </si>
  <si>
    <t>Organization Profile</t>
  </si>
  <si>
    <t>Organization profile with campaign and post tabs, plus follow.</t>
  </si>
  <si>
    <t>Donation Campaign Details</t>
  </si>
  <si>
    <t>Campaign description, period, location and accepted item types; information only.</t>
  </si>
  <si>
    <t>Drop-off Point Map</t>
  </si>
  <si>
    <t>Map plus bottom-sheet list of nearby donation drop-off points.</t>
  </si>
  <si>
    <t>Report Violation</t>
  </si>
  <si>
    <t>Shared reporting form for posts, campaigns and organization accounts.</t>
  </si>
  <si>
    <t>Conversation List</t>
  </si>
  <si>
    <t>Member / Chat</t>
  </si>
  <si>
    <t>Conversation list with unread markers and empty state.</t>
  </si>
  <si>
    <t>Chat Room</t>
  </si>
  <si>
    <t>One chat layout used for organizations and for the consignment-point inbox.</t>
  </si>
  <si>
    <t>Notifications (Web)</t>
  </si>
  <si>
    <t>Notification panel sliding from the header.</t>
  </si>
  <si>
    <t>Organization Dossier Queue</t>
  </si>
  <si>
    <t>Moderator / Org Verification</t>
  </si>
  <si>
    <t>Dossiers awaiting verification, including resubmissions.</t>
  </si>
  <si>
    <t>Dossier Review Checklist</t>
  </si>
  <si>
    <t>Eight-step checklist per organization type; the Verify button stays locked until complete.</t>
  </si>
  <si>
    <t>View Legal Documents</t>
  </si>
  <si>
    <t>Zoomable document viewer; moderator-only, download blocked, auto-deleted after 30 days.</t>
  </si>
  <si>
    <t>Reject Dossier with Reason</t>
  </si>
  <si>
    <t>Rejection modal with free text or a preset reason.</t>
  </si>
  <si>
    <t>Legal Info Change Queue</t>
  </si>
  <si>
    <t>Requests to change legal information.</t>
  </si>
  <si>
    <t>Review Legal Info Change</t>
  </si>
  <si>
    <t>Before/after comparison with the new documents attached.</t>
  </si>
  <si>
    <t>Iteration 4</t>
  </si>
  <si>
    <t>Violation Report Queue</t>
  </si>
  <si>
    <t>Moderator / Moderation</t>
  </si>
  <si>
    <t>Reports awaiting handling, grouping repeat reports on one target.</t>
  </si>
  <si>
    <t>Violation Report Handling</t>
  </si>
  <si>
    <t>Removes content, hides a campaign, dismisses the report or escalates a ban to Admin.</t>
  </si>
  <si>
    <t>Point Inbox - Conversations</t>
  </si>
  <si>
    <t>Moderator / Chat</t>
  </si>
  <si>
    <t>Shared inbox for the point, visible to every moderator there.</t>
  </si>
  <si>
    <t>Point Inbox - Chat Room</t>
  </si>
  <si>
    <t>Chat panel with member information on the right.</t>
  </si>
  <si>
    <t>Organization Profile Management</t>
  </si>
  <si>
    <t>Organization / Profile</t>
  </si>
  <si>
    <t>Updates non-legal profile information.</t>
  </si>
  <si>
    <t>Request Legal Info Change</t>
  </si>
  <si>
    <t>Submits a legal information change for moderator approval.</t>
  </si>
  <si>
    <t>Campaign List</t>
  </si>
  <si>
    <t>Organization / Campaign</t>
  </si>
  <si>
    <t>Own campaigns grouped by status.</t>
  </si>
  <si>
    <t>Create / Edit Campaign</t>
  </si>
  <si>
    <t>Campaign form with the concurrent-campaign limit enforced.</t>
  </si>
  <si>
    <t>Campaign Details (Owner)</t>
  </si>
  <si>
    <t>Owner view of a campaign with its drop-off points.</t>
  </si>
  <si>
    <t>Close / Cancel Campaign</t>
  </si>
  <si>
    <t>Closes or cancels a campaign with confirmation.</t>
  </si>
  <si>
    <t>Community Post List</t>
  </si>
  <si>
    <t>Organization / Community</t>
  </si>
  <si>
    <t>Own posts with status.</t>
  </si>
  <si>
    <t>Create / Edit Post</t>
  </si>
  <si>
    <t>Post editor with images.</t>
  </si>
  <si>
    <t>Delete Post</t>
  </si>
  <si>
    <t>Deletion with confirmation.</t>
  </si>
  <si>
    <t>Chat with Members</t>
  </si>
  <si>
    <t>Organization / Chat</t>
  </si>
  <si>
    <t>Conversations with members about campaigns.</t>
  </si>
  <si>
    <t>Notification list for the organization account.</t>
  </si>
  <si>
    <t>Admin Dashboard</t>
  </si>
  <si>
    <t>Admin / Dashboard</t>
  </si>
  <si>
    <t>Revenue, orders, stock, ratings and the three platform-fund figures.</t>
  </si>
  <si>
    <t>Account List</t>
  </si>
  <si>
    <t>Admin / Accounts</t>
  </si>
  <si>
    <t>All accounts with role and status filters.</t>
  </si>
  <si>
    <t>Account Details</t>
  </si>
  <si>
    <t>Single account with its activity summary.</t>
  </si>
  <si>
    <t>Lock Account</t>
  </si>
  <si>
    <t>Locks an account and records the reason.</t>
  </si>
  <si>
    <t>Unlock Account</t>
  </si>
  <si>
    <t>Unlocks a previously locked account.</t>
  </si>
  <si>
    <t>Moderator List</t>
  </si>
  <si>
    <t>Admin / Staff</t>
  </si>
  <si>
    <t>Moderators with their assigned consignment point.</t>
  </si>
  <si>
    <t>Create Moderator Account</t>
  </si>
  <si>
    <t>Creates a moderator account; no self-registration exists.</t>
  </si>
  <si>
    <t>Assign Moderator to Point</t>
  </si>
  <si>
    <t>Assigns or moves a moderator between points.</t>
  </si>
  <si>
    <t>Consignment Point List</t>
  </si>
  <si>
    <t>Admin / Points</t>
  </si>
  <si>
    <t>All consignment points with status.</t>
  </si>
  <si>
    <t>Create Consignment Point</t>
  </si>
  <si>
    <t>Creates a point with address and coordinates.</t>
  </si>
  <si>
    <t>Edit Consignment Point</t>
  </si>
  <si>
    <t>Edits point information.</t>
  </si>
  <si>
    <t>Hide Consignment Point</t>
  </si>
  <si>
    <t>Hiding is blocked while stock remains at the point.</t>
  </si>
  <si>
    <t>System Parameter List</t>
  </si>
  <si>
    <t>Admin / Configuration</t>
  </si>
  <si>
    <t>All parameters from the configuration table: terms, commission, floor price, fees, limits.</t>
  </si>
  <si>
    <t>Edit System Parameter</t>
  </si>
  <si>
    <t>Edits a parameter; every change is written to the audit log.</t>
  </si>
  <si>
    <t>Revenue &amp; Order Report</t>
  </si>
  <si>
    <t>Admin / Reports</t>
  </si>
  <si>
    <t>Revenue and order figures by period.</t>
  </si>
  <si>
    <t>Inventory &amp; Rating Report</t>
  </si>
  <si>
    <t>Stock levels and service ratings by point.</t>
  </si>
  <si>
    <t>Platform Fund Overview</t>
  </si>
  <si>
    <t>Platform fund balance against member wallet liabilities.</t>
  </si>
  <si>
    <t>Export Excel Report</t>
  </si>
  <si>
    <t>Exports the current report to Excel.</t>
  </si>
  <si>
    <t>Audit Log List</t>
  </si>
  <si>
    <t>Admin / Audit</t>
  </si>
  <si>
    <t>Audit entries filtered by actor, object and period.</t>
  </si>
  <si>
    <t>Audit Log Details</t>
  </si>
  <si>
    <t>Single audit entry with before and after values.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</si>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</sst>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2.0"/>
      <color rgb="FF000000"/>
      <name val="Calibri"/>
    </font>
    <font>
      <sz val="10.0"/>
      <color theme="1"/>
      <name val="Arial"/>
    </font>
    <font>
      <sz val="11.0"/>
      <color rgb="FF000000"/>
      <name val="Calibri"/>
    </font>
    <font>
      <b/>
      <sz val="15.0"/>
      <color rgb="FF000000"/>
      <name val="Arial"/>
    </font>
    <font>
      <b/>
      <sz val="14.0"/>
      <color theme="1"/>
      <name val="Arial"/>
    </font>
    <font>
      <b/>
      <sz val="11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8E1"/>
        <bgColor rgb="FFFFE8E1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1" fillId="2" fontId="4" numFmtId="0" xfId="0" applyAlignment="1" applyBorder="1" applyFill="1" applyFont="1">
      <alignment vertical="center"/>
    </xf>
    <xf borderId="0" fillId="0" fontId="1" numFmtId="0" xfId="0" applyFont="1"/>
    <xf borderId="0" fillId="0" fontId="3" numFmtId="0" xfId="0" applyAlignment="1" applyFont="1">
      <alignment horizontal="left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top" wrapText="1"/>
    </xf>
    <xf borderId="1" fillId="0" fontId="6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7" numFmtId="0" xfId="0" applyBorder="1" applyFont="1"/>
    <xf borderId="0" fillId="0" fontId="8" numFmtId="0" xfId="0" applyAlignment="1" applyFont="1">
      <alignment horizontal="left" vertical="center"/>
    </xf>
    <xf borderId="1" fillId="0" fontId="7" numFmtId="0" xfId="0" applyAlignment="1" applyBorder="1" applyFont="1">
      <alignment shrinkToFit="0" vertical="top" wrapText="1"/>
    </xf>
    <xf borderId="0" fillId="0" fontId="9" numFmtId="0" xfId="0" applyAlignment="1" applyFont="1">
      <alignment horizontal="center"/>
    </xf>
    <xf borderId="1" fillId="3" fontId="10" numFmtId="0" xfId="0" applyAlignment="1" applyBorder="1" applyFill="1" applyFont="1">
      <alignment horizontal="left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2" fillId="4" fontId="6" numFmtId="0" xfId="0" applyBorder="1" applyFill="1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3086100" cy="6858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0"/>
    <col customWidth="1" min="2" max="2" width="36.0"/>
    <col customWidth="1" min="3" max="3" width="26.0"/>
    <col customWidth="1" min="4" max="4" width="13.13"/>
    <col customWidth="1" min="5" max="5" width="90.0"/>
    <col customWidth="1" min="6" max="6" width="12.0"/>
    <col customWidth="1" min="7" max="7" width="15.0"/>
    <col customWidth="1" min="8" max="26" width="10.63"/>
  </cols>
  <sheetData>
    <row r="1" ht="13.5" customHeight="1">
      <c r="A1" s="2"/>
      <c r="B1" s="4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2"/>
      <c r="B2" s="4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2"/>
      <c r="B3" s="4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2"/>
      <c r="B4" s="4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2"/>
      <c r="B5" s="4"/>
      <c r="C5" s="4"/>
      <c r="D5" s="15" t="s">
        <v>21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7"/>
      <c r="B6" s="4"/>
      <c r="C6" s="2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 t="s">
        <v>1</v>
      </c>
      <c r="B7" s="18" t="s">
        <v>14</v>
      </c>
      <c r="C7" s="18" t="s">
        <v>12</v>
      </c>
      <c r="D7" s="18" t="s">
        <v>23</v>
      </c>
      <c r="E7" s="18" t="s">
        <v>24</v>
      </c>
      <c r="F7" s="18" t="s">
        <v>25</v>
      </c>
      <c r="G7" s="18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9">
        <f t="shared" ref="A8:A157" si="1">ROW()-7</f>
        <v>1</v>
      </c>
      <c r="B8" s="20" t="s">
        <v>26</v>
      </c>
      <c r="C8" s="20" t="s">
        <v>27</v>
      </c>
      <c r="D8" s="9" t="s">
        <v>28</v>
      </c>
      <c r="E8" s="21" t="s">
        <v>29</v>
      </c>
      <c r="F8" s="22" t="s">
        <v>30</v>
      </c>
      <c r="G8" s="23" t="s">
        <v>31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9">
        <f t="shared" si="1"/>
        <v>2</v>
      </c>
      <c r="B9" s="20" t="s">
        <v>32</v>
      </c>
      <c r="C9" s="20" t="s">
        <v>27</v>
      </c>
      <c r="D9" s="9" t="s">
        <v>33</v>
      </c>
      <c r="E9" s="21" t="s">
        <v>34</v>
      </c>
      <c r="F9" s="22" t="s">
        <v>30</v>
      </c>
      <c r="G9" s="23" t="s">
        <v>31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9">
        <f t="shared" si="1"/>
        <v>3</v>
      </c>
      <c r="B10" s="20" t="s">
        <v>35</v>
      </c>
      <c r="C10" s="20" t="s">
        <v>27</v>
      </c>
      <c r="D10" s="9" t="s">
        <v>33</v>
      </c>
      <c r="E10" s="21" t="s">
        <v>36</v>
      </c>
      <c r="F10" s="22" t="s">
        <v>30</v>
      </c>
      <c r="G10" s="23" t="s">
        <v>31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9">
        <f t="shared" si="1"/>
        <v>4</v>
      </c>
      <c r="B11" s="20" t="s">
        <v>37</v>
      </c>
      <c r="C11" s="20" t="s">
        <v>27</v>
      </c>
      <c r="D11" s="9" t="s">
        <v>33</v>
      </c>
      <c r="E11" s="21" t="s">
        <v>38</v>
      </c>
      <c r="F11" s="22" t="s">
        <v>30</v>
      </c>
      <c r="G11" s="23" t="s">
        <v>31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9">
        <f t="shared" si="1"/>
        <v>5</v>
      </c>
      <c r="B12" s="20" t="s">
        <v>39</v>
      </c>
      <c r="C12" s="20" t="s">
        <v>27</v>
      </c>
      <c r="D12" s="9" t="s">
        <v>28</v>
      </c>
      <c r="E12" s="21" t="s">
        <v>40</v>
      </c>
      <c r="F12" s="22" t="s">
        <v>30</v>
      </c>
      <c r="G12" s="23" t="s">
        <v>31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9">
        <f t="shared" si="1"/>
        <v>6</v>
      </c>
      <c r="B13" s="20" t="s">
        <v>41</v>
      </c>
      <c r="C13" s="20" t="s">
        <v>27</v>
      </c>
      <c r="D13" s="9" t="s">
        <v>33</v>
      </c>
      <c r="E13" s="21" t="s">
        <v>42</v>
      </c>
      <c r="F13" s="22" t="s">
        <v>30</v>
      </c>
      <c r="G13" s="23" t="s">
        <v>31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9">
        <f t="shared" si="1"/>
        <v>7</v>
      </c>
      <c r="B14" s="20" t="s">
        <v>43</v>
      </c>
      <c r="C14" s="20" t="s">
        <v>27</v>
      </c>
      <c r="D14" s="9" t="s">
        <v>28</v>
      </c>
      <c r="E14" s="21" t="s">
        <v>44</v>
      </c>
      <c r="F14" s="22" t="s">
        <v>30</v>
      </c>
      <c r="G14" s="23" t="s">
        <v>31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9">
        <f t="shared" si="1"/>
        <v>8</v>
      </c>
      <c r="B15" s="20" t="s">
        <v>45</v>
      </c>
      <c r="C15" s="20" t="s">
        <v>46</v>
      </c>
      <c r="D15" s="9" t="s">
        <v>28</v>
      </c>
      <c r="E15" s="21" t="s">
        <v>47</v>
      </c>
      <c r="F15" s="22" t="s">
        <v>30</v>
      </c>
      <c r="G15" s="23" t="s">
        <v>31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9">
        <f t="shared" si="1"/>
        <v>9</v>
      </c>
      <c r="B16" s="20" t="s">
        <v>48</v>
      </c>
      <c r="C16" s="20" t="s">
        <v>46</v>
      </c>
      <c r="D16" s="9" t="s">
        <v>28</v>
      </c>
      <c r="E16" s="21" t="s">
        <v>49</v>
      </c>
      <c r="F16" s="22" t="s">
        <v>30</v>
      </c>
      <c r="G16" s="23" t="s">
        <v>31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9">
        <f t="shared" si="1"/>
        <v>10</v>
      </c>
      <c r="B17" s="20" t="s">
        <v>50</v>
      </c>
      <c r="C17" s="20" t="s">
        <v>46</v>
      </c>
      <c r="D17" s="9" t="s">
        <v>33</v>
      </c>
      <c r="E17" s="21" t="s">
        <v>51</v>
      </c>
      <c r="F17" s="22" t="s">
        <v>30</v>
      </c>
      <c r="G17" s="23" t="s">
        <v>31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9">
        <f t="shared" si="1"/>
        <v>11</v>
      </c>
      <c r="B18" s="20" t="s">
        <v>52</v>
      </c>
      <c r="C18" s="20" t="s">
        <v>46</v>
      </c>
      <c r="D18" s="9" t="s">
        <v>28</v>
      </c>
      <c r="E18" s="21" t="s">
        <v>53</v>
      </c>
      <c r="F18" s="22" t="s">
        <v>30</v>
      </c>
      <c r="G18" s="24" t="s">
        <v>54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9">
        <f t="shared" si="1"/>
        <v>12</v>
      </c>
      <c r="B19" s="20" t="s">
        <v>55</v>
      </c>
      <c r="C19" s="20" t="s">
        <v>56</v>
      </c>
      <c r="D19" s="9" t="s">
        <v>33</v>
      </c>
      <c r="E19" s="21" t="s">
        <v>57</v>
      </c>
      <c r="F19" s="22" t="s">
        <v>30</v>
      </c>
      <c r="G19" s="23" t="s">
        <v>31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9">
        <f t="shared" si="1"/>
        <v>13</v>
      </c>
      <c r="B20" s="20" t="s">
        <v>58</v>
      </c>
      <c r="C20" s="20" t="s">
        <v>56</v>
      </c>
      <c r="D20" s="9" t="s">
        <v>28</v>
      </c>
      <c r="E20" s="21" t="s">
        <v>59</v>
      </c>
      <c r="F20" s="22" t="s">
        <v>30</v>
      </c>
      <c r="G20" s="23" t="s">
        <v>31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9">
        <f t="shared" si="1"/>
        <v>14</v>
      </c>
      <c r="B21" s="20" t="s">
        <v>60</v>
      </c>
      <c r="C21" s="20" t="s">
        <v>56</v>
      </c>
      <c r="D21" s="9" t="s">
        <v>28</v>
      </c>
      <c r="E21" s="21" t="s">
        <v>61</v>
      </c>
      <c r="F21" s="22" t="s">
        <v>30</v>
      </c>
      <c r="G21" s="23" t="s">
        <v>31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9">
        <f t="shared" si="1"/>
        <v>15</v>
      </c>
      <c r="B22" s="20" t="s">
        <v>62</v>
      </c>
      <c r="C22" s="20" t="s">
        <v>63</v>
      </c>
      <c r="D22" s="9" t="s">
        <v>64</v>
      </c>
      <c r="E22" s="21" t="s">
        <v>65</v>
      </c>
      <c r="F22" s="22" t="s">
        <v>30</v>
      </c>
      <c r="G22" s="23" t="s">
        <v>31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9">
        <f t="shared" si="1"/>
        <v>16</v>
      </c>
      <c r="B23" s="20" t="s">
        <v>66</v>
      </c>
      <c r="C23" s="20" t="s">
        <v>63</v>
      </c>
      <c r="D23" s="9" t="s">
        <v>33</v>
      </c>
      <c r="E23" s="21" t="s">
        <v>67</v>
      </c>
      <c r="F23" s="22" t="s">
        <v>30</v>
      </c>
      <c r="G23" s="23" t="s">
        <v>31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9">
        <f t="shared" si="1"/>
        <v>17</v>
      </c>
      <c r="B24" s="20" t="s">
        <v>68</v>
      </c>
      <c r="C24" s="20" t="s">
        <v>69</v>
      </c>
      <c r="D24" s="9" t="s">
        <v>64</v>
      </c>
      <c r="E24" s="21" t="s">
        <v>70</v>
      </c>
      <c r="F24" s="22" t="s">
        <v>30</v>
      </c>
      <c r="G24" s="23" t="s">
        <v>31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9">
        <f t="shared" si="1"/>
        <v>18</v>
      </c>
      <c r="B25" s="20" t="s">
        <v>71</v>
      </c>
      <c r="C25" s="20" t="s">
        <v>69</v>
      </c>
      <c r="D25" s="9" t="s">
        <v>64</v>
      </c>
      <c r="E25" s="21" t="s">
        <v>72</v>
      </c>
      <c r="F25" s="22" t="s">
        <v>30</v>
      </c>
      <c r="G25" s="23" t="s">
        <v>31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9">
        <f t="shared" si="1"/>
        <v>19</v>
      </c>
      <c r="B26" s="20" t="s">
        <v>73</v>
      </c>
      <c r="C26" s="20" t="s">
        <v>69</v>
      </c>
      <c r="D26" s="9" t="s">
        <v>28</v>
      </c>
      <c r="E26" s="21" t="s">
        <v>74</v>
      </c>
      <c r="F26" s="22" t="s">
        <v>30</v>
      </c>
      <c r="G26" s="23" t="s">
        <v>31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9">
        <f t="shared" si="1"/>
        <v>20</v>
      </c>
      <c r="B27" s="20" t="s">
        <v>75</v>
      </c>
      <c r="C27" s="20" t="s">
        <v>69</v>
      </c>
      <c r="D27" s="9" t="s">
        <v>33</v>
      </c>
      <c r="E27" s="21" t="s">
        <v>76</v>
      </c>
      <c r="F27" s="22" t="s">
        <v>30</v>
      </c>
      <c r="G27" s="23" t="s">
        <v>31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9">
        <f t="shared" si="1"/>
        <v>21</v>
      </c>
      <c r="B28" s="20" t="s">
        <v>77</v>
      </c>
      <c r="C28" s="20" t="s">
        <v>69</v>
      </c>
      <c r="D28" s="9" t="s">
        <v>28</v>
      </c>
      <c r="E28" s="21" t="s">
        <v>78</v>
      </c>
      <c r="F28" s="22" t="s">
        <v>30</v>
      </c>
      <c r="G28" s="23" t="s">
        <v>31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9">
        <f t="shared" si="1"/>
        <v>22</v>
      </c>
      <c r="B29" s="20" t="s">
        <v>79</v>
      </c>
      <c r="C29" s="20" t="s">
        <v>69</v>
      </c>
      <c r="D29" s="9" t="s">
        <v>64</v>
      </c>
      <c r="E29" s="21" t="s">
        <v>80</v>
      </c>
      <c r="F29" s="22" t="s">
        <v>30</v>
      </c>
      <c r="G29" s="23" t="s">
        <v>31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9">
        <f t="shared" si="1"/>
        <v>23</v>
      </c>
      <c r="B30" s="20" t="s">
        <v>81</v>
      </c>
      <c r="C30" s="20" t="s">
        <v>69</v>
      </c>
      <c r="D30" s="9" t="s">
        <v>28</v>
      </c>
      <c r="E30" s="21" t="s">
        <v>82</v>
      </c>
      <c r="F30" s="22" t="s">
        <v>30</v>
      </c>
      <c r="G30" s="23" t="s">
        <v>31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9">
        <f t="shared" si="1"/>
        <v>24</v>
      </c>
      <c r="B31" s="20" t="s">
        <v>83</v>
      </c>
      <c r="C31" s="20" t="s">
        <v>69</v>
      </c>
      <c r="D31" s="9" t="s">
        <v>64</v>
      </c>
      <c r="E31" s="21" t="s">
        <v>84</v>
      </c>
      <c r="F31" s="22" t="s">
        <v>30</v>
      </c>
      <c r="G31" s="23" t="s">
        <v>31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9">
        <f t="shared" si="1"/>
        <v>25</v>
      </c>
      <c r="B32" s="20" t="s">
        <v>85</v>
      </c>
      <c r="C32" s="20" t="s">
        <v>69</v>
      </c>
      <c r="D32" s="9" t="s">
        <v>64</v>
      </c>
      <c r="E32" s="21" t="s">
        <v>86</v>
      </c>
      <c r="F32" s="22" t="s">
        <v>30</v>
      </c>
      <c r="G32" s="23" t="s">
        <v>31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9">
        <f t="shared" si="1"/>
        <v>26</v>
      </c>
      <c r="B33" s="20" t="s">
        <v>87</v>
      </c>
      <c r="C33" s="20" t="s">
        <v>69</v>
      </c>
      <c r="D33" s="9" t="s">
        <v>64</v>
      </c>
      <c r="E33" s="21" t="s">
        <v>88</v>
      </c>
      <c r="F33" s="22" t="s">
        <v>30</v>
      </c>
      <c r="G33" s="23" t="s">
        <v>31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9">
        <f t="shared" si="1"/>
        <v>27</v>
      </c>
      <c r="B34" s="20" t="s">
        <v>89</v>
      </c>
      <c r="C34" s="20" t="s">
        <v>69</v>
      </c>
      <c r="D34" s="9" t="s">
        <v>33</v>
      </c>
      <c r="E34" s="21" t="s">
        <v>90</v>
      </c>
      <c r="F34" s="22" t="s">
        <v>30</v>
      </c>
      <c r="G34" s="23" t="s">
        <v>31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9">
        <f t="shared" si="1"/>
        <v>28</v>
      </c>
      <c r="B35" s="20" t="s">
        <v>91</v>
      </c>
      <c r="C35" s="20" t="s">
        <v>69</v>
      </c>
      <c r="D35" s="9" t="s">
        <v>33</v>
      </c>
      <c r="E35" s="21" t="s">
        <v>92</v>
      </c>
      <c r="F35" s="22" t="s">
        <v>30</v>
      </c>
      <c r="G35" s="23" t="s">
        <v>31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9">
        <f t="shared" si="1"/>
        <v>29</v>
      </c>
      <c r="B36" s="20" t="s">
        <v>93</v>
      </c>
      <c r="C36" s="20" t="s">
        <v>56</v>
      </c>
      <c r="D36" s="9" t="s">
        <v>33</v>
      </c>
      <c r="E36" s="21" t="s">
        <v>94</v>
      </c>
      <c r="F36" s="22" t="s">
        <v>30</v>
      </c>
      <c r="G36" s="23" t="s">
        <v>31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9">
        <f t="shared" si="1"/>
        <v>30</v>
      </c>
      <c r="B37" s="20" t="s">
        <v>95</v>
      </c>
      <c r="C37" s="20" t="s">
        <v>96</v>
      </c>
      <c r="D37" s="9" t="s">
        <v>64</v>
      </c>
      <c r="E37" s="21" t="s">
        <v>97</v>
      </c>
      <c r="F37" s="22" t="s">
        <v>30</v>
      </c>
      <c r="G37" s="23" t="s">
        <v>31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9">
        <f t="shared" si="1"/>
        <v>31</v>
      </c>
      <c r="B38" s="20" t="s">
        <v>98</v>
      </c>
      <c r="C38" s="20" t="s">
        <v>96</v>
      </c>
      <c r="D38" s="9" t="s">
        <v>33</v>
      </c>
      <c r="E38" s="21" t="s">
        <v>99</v>
      </c>
      <c r="F38" s="22" t="s">
        <v>30</v>
      </c>
      <c r="G38" s="23" t="s">
        <v>31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9">
        <f t="shared" si="1"/>
        <v>32</v>
      </c>
      <c r="B39" s="20" t="s">
        <v>100</v>
      </c>
      <c r="C39" s="20" t="s">
        <v>101</v>
      </c>
      <c r="D39" s="9" t="s">
        <v>64</v>
      </c>
      <c r="E39" s="21" t="s">
        <v>102</v>
      </c>
      <c r="F39" s="22" t="s">
        <v>30</v>
      </c>
      <c r="G39" s="23" t="s">
        <v>31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9">
        <f t="shared" si="1"/>
        <v>33</v>
      </c>
      <c r="B40" s="20" t="s">
        <v>103</v>
      </c>
      <c r="C40" s="20" t="s">
        <v>101</v>
      </c>
      <c r="D40" s="9" t="s">
        <v>28</v>
      </c>
      <c r="E40" s="21" t="s">
        <v>104</v>
      </c>
      <c r="F40" s="22" t="s">
        <v>30</v>
      </c>
      <c r="G40" s="23" t="s">
        <v>31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9">
        <f t="shared" si="1"/>
        <v>34</v>
      </c>
      <c r="B41" s="20" t="s">
        <v>105</v>
      </c>
      <c r="C41" s="20" t="s">
        <v>101</v>
      </c>
      <c r="D41" s="9" t="s">
        <v>28</v>
      </c>
      <c r="E41" s="21" t="s">
        <v>106</v>
      </c>
      <c r="F41" s="22" t="s">
        <v>30</v>
      </c>
      <c r="G41" s="23" t="s">
        <v>31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9">
        <f t="shared" si="1"/>
        <v>35</v>
      </c>
      <c r="B42" s="20" t="s">
        <v>107</v>
      </c>
      <c r="C42" s="20" t="s">
        <v>108</v>
      </c>
      <c r="D42" s="9" t="s">
        <v>33</v>
      </c>
      <c r="E42" s="21" t="s">
        <v>109</v>
      </c>
      <c r="F42" s="22" t="s">
        <v>30</v>
      </c>
      <c r="G42" s="23" t="s">
        <v>31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9">
        <f t="shared" si="1"/>
        <v>36</v>
      </c>
      <c r="B43" s="20" t="s">
        <v>110</v>
      </c>
      <c r="C43" s="20" t="s">
        <v>108</v>
      </c>
      <c r="D43" s="9" t="s">
        <v>33</v>
      </c>
      <c r="E43" s="21" t="s">
        <v>111</v>
      </c>
      <c r="F43" s="22" t="s">
        <v>30</v>
      </c>
      <c r="G43" s="23" t="s">
        <v>31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9">
        <f t="shared" si="1"/>
        <v>37</v>
      </c>
      <c r="B44" s="20" t="s">
        <v>112</v>
      </c>
      <c r="C44" s="20" t="s">
        <v>108</v>
      </c>
      <c r="D44" s="9" t="s">
        <v>28</v>
      </c>
      <c r="E44" s="21" t="s">
        <v>113</v>
      </c>
      <c r="F44" s="22" t="s">
        <v>30</v>
      </c>
      <c r="G44" s="23" t="s">
        <v>31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9">
        <f t="shared" si="1"/>
        <v>38</v>
      </c>
      <c r="B45" s="20" t="s">
        <v>114</v>
      </c>
      <c r="C45" s="20" t="s">
        <v>108</v>
      </c>
      <c r="D45" s="9" t="s">
        <v>64</v>
      </c>
      <c r="E45" s="21" t="s">
        <v>115</v>
      </c>
      <c r="F45" s="22" t="s">
        <v>30</v>
      </c>
      <c r="G45" s="23" t="s">
        <v>31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9">
        <f t="shared" si="1"/>
        <v>39</v>
      </c>
      <c r="B46" s="20" t="s">
        <v>116</v>
      </c>
      <c r="C46" s="20" t="s">
        <v>108</v>
      </c>
      <c r="D46" s="9" t="s">
        <v>64</v>
      </c>
      <c r="E46" s="21" t="s">
        <v>117</v>
      </c>
      <c r="F46" s="22" t="s">
        <v>118</v>
      </c>
      <c r="G46" s="23" t="s">
        <v>31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9">
        <f t="shared" si="1"/>
        <v>40</v>
      </c>
      <c r="B47" s="20" t="s">
        <v>119</v>
      </c>
      <c r="C47" s="20" t="s">
        <v>108</v>
      </c>
      <c r="D47" s="9" t="s">
        <v>28</v>
      </c>
      <c r="E47" s="21" t="s">
        <v>120</v>
      </c>
      <c r="F47" s="22" t="s">
        <v>118</v>
      </c>
      <c r="G47" s="23" t="s">
        <v>31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9">
        <f t="shared" si="1"/>
        <v>41</v>
      </c>
      <c r="B48" s="20" t="s">
        <v>121</v>
      </c>
      <c r="C48" s="20" t="s">
        <v>108</v>
      </c>
      <c r="D48" s="9" t="s">
        <v>33</v>
      </c>
      <c r="E48" s="21" t="s">
        <v>122</v>
      </c>
      <c r="F48" s="22" t="s">
        <v>118</v>
      </c>
      <c r="G48" s="23" t="s">
        <v>31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9">
        <f t="shared" si="1"/>
        <v>42</v>
      </c>
      <c r="B49" s="20" t="s">
        <v>123</v>
      </c>
      <c r="C49" s="20" t="s">
        <v>108</v>
      </c>
      <c r="D49" s="9" t="s">
        <v>64</v>
      </c>
      <c r="E49" s="21" t="s">
        <v>124</v>
      </c>
      <c r="F49" s="22" t="s">
        <v>118</v>
      </c>
      <c r="G49" s="23" t="s">
        <v>31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9">
        <f t="shared" si="1"/>
        <v>43</v>
      </c>
      <c r="B50" s="20" t="s">
        <v>125</v>
      </c>
      <c r="C50" s="20" t="s">
        <v>108</v>
      </c>
      <c r="D50" s="9" t="s">
        <v>28</v>
      </c>
      <c r="E50" s="21" t="s">
        <v>126</v>
      </c>
      <c r="F50" s="22" t="s">
        <v>118</v>
      </c>
      <c r="G50" s="23" t="s">
        <v>31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9">
        <f t="shared" si="1"/>
        <v>44</v>
      </c>
      <c r="B51" s="20" t="s">
        <v>127</v>
      </c>
      <c r="C51" s="20" t="s">
        <v>108</v>
      </c>
      <c r="D51" s="9" t="s">
        <v>28</v>
      </c>
      <c r="E51" s="21" t="s">
        <v>128</v>
      </c>
      <c r="F51" s="22" t="s">
        <v>118</v>
      </c>
      <c r="G51" s="23" t="s">
        <v>31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9">
        <f t="shared" si="1"/>
        <v>45</v>
      </c>
      <c r="B52" s="20" t="s">
        <v>129</v>
      </c>
      <c r="C52" s="20" t="s">
        <v>108</v>
      </c>
      <c r="D52" s="9" t="s">
        <v>33</v>
      </c>
      <c r="E52" s="21" t="s">
        <v>130</v>
      </c>
      <c r="F52" s="22" t="s">
        <v>118</v>
      </c>
      <c r="G52" s="23" t="s">
        <v>31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9">
        <f t="shared" si="1"/>
        <v>46</v>
      </c>
      <c r="B53" s="20" t="s">
        <v>131</v>
      </c>
      <c r="C53" s="20" t="s">
        <v>132</v>
      </c>
      <c r="D53" s="9" t="s">
        <v>64</v>
      </c>
      <c r="E53" s="21" t="s">
        <v>133</v>
      </c>
      <c r="F53" s="22" t="s">
        <v>118</v>
      </c>
      <c r="G53" s="23" t="s">
        <v>31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9">
        <f t="shared" si="1"/>
        <v>47</v>
      </c>
      <c r="B54" s="20" t="s">
        <v>134</v>
      </c>
      <c r="C54" s="20" t="s">
        <v>132</v>
      </c>
      <c r="D54" s="9" t="s">
        <v>64</v>
      </c>
      <c r="E54" s="21" t="s">
        <v>135</v>
      </c>
      <c r="F54" s="22" t="s">
        <v>118</v>
      </c>
      <c r="G54" s="23" t="s">
        <v>31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9">
        <f t="shared" si="1"/>
        <v>48</v>
      </c>
      <c r="B55" s="20" t="s">
        <v>136</v>
      </c>
      <c r="C55" s="20" t="s">
        <v>132</v>
      </c>
      <c r="D55" s="9" t="s">
        <v>33</v>
      </c>
      <c r="E55" s="21" t="s">
        <v>137</v>
      </c>
      <c r="F55" s="22" t="s">
        <v>118</v>
      </c>
      <c r="G55" s="23" t="s">
        <v>31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9">
        <f t="shared" si="1"/>
        <v>49</v>
      </c>
      <c r="B56" s="20" t="s">
        <v>138</v>
      </c>
      <c r="C56" s="20" t="s">
        <v>132</v>
      </c>
      <c r="D56" s="9" t="s">
        <v>28</v>
      </c>
      <c r="E56" s="21" t="s">
        <v>139</v>
      </c>
      <c r="F56" s="22" t="s">
        <v>118</v>
      </c>
      <c r="G56" s="23" t="s">
        <v>31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9">
        <f t="shared" si="1"/>
        <v>50</v>
      </c>
      <c r="B57" s="20" t="s">
        <v>140</v>
      </c>
      <c r="C57" s="20" t="s">
        <v>141</v>
      </c>
      <c r="D57" s="9" t="s">
        <v>28</v>
      </c>
      <c r="E57" s="21" t="s">
        <v>142</v>
      </c>
      <c r="F57" s="22" t="s">
        <v>118</v>
      </c>
      <c r="G57" s="23" t="s">
        <v>31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9">
        <f t="shared" si="1"/>
        <v>51</v>
      </c>
      <c r="B58" s="20" t="s">
        <v>143</v>
      </c>
      <c r="C58" s="20" t="s">
        <v>144</v>
      </c>
      <c r="D58" s="9" t="s">
        <v>33</v>
      </c>
      <c r="E58" s="21" t="s">
        <v>145</v>
      </c>
      <c r="F58" s="22" t="s">
        <v>118</v>
      </c>
      <c r="G58" s="23" t="s">
        <v>31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9">
        <f t="shared" si="1"/>
        <v>52</v>
      </c>
      <c r="B59" s="20" t="s">
        <v>146</v>
      </c>
      <c r="C59" s="20" t="s">
        <v>144</v>
      </c>
      <c r="D59" s="9" t="s">
        <v>33</v>
      </c>
      <c r="E59" s="21" t="s">
        <v>147</v>
      </c>
      <c r="F59" s="22" t="s">
        <v>118</v>
      </c>
      <c r="G59" s="23" t="s">
        <v>31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9">
        <f t="shared" si="1"/>
        <v>53</v>
      </c>
      <c r="B60" s="20" t="s">
        <v>148</v>
      </c>
      <c r="C60" s="20" t="s">
        <v>144</v>
      </c>
      <c r="D60" s="9" t="s">
        <v>28</v>
      </c>
      <c r="E60" s="21" t="s">
        <v>149</v>
      </c>
      <c r="F60" s="22" t="s">
        <v>118</v>
      </c>
      <c r="G60" s="23" t="s">
        <v>31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9">
        <f t="shared" si="1"/>
        <v>54</v>
      </c>
      <c r="B61" s="20" t="s">
        <v>150</v>
      </c>
      <c r="C61" s="20" t="s">
        <v>151</v>
      </c>
      <c r="D61" s="9" t="s">
        <v>33</v>
      </c>
      <c r="E61" s="21" t="s">
        <v>152</v>
      </c>
      <c r="F61" s="22" t="s">
        <v>118</v>
      </c>
      <c r="G61" s="23" t="s">
        <v>31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9">
        <f t="shared" si="1"/>
        <v>55</v>
      </c>
      <c r="B62" s="20" t="s">
        <v>153</v>
      </c>
      <c r="C62" s="20" t="s">
        <v>151</v>
      </c>
      <c r="D62" s="9" t="s">
        <v>33</v>
      </c>
      <c r="E62" s="21" t="s">
        <v>154</v>
      </c>
      <c r="F62" s="22" t="s">
        <v>118</v>
      </c>
      <c r="G62" s="23" t="s">
        <v>31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9">
        <f t="shared" si="1"/>
        <v>56</v>
      </c>
      <c r="B63" s="20" t="s">
        <v>155</v>
      </c>
      <c r="C63" s="20" t="s">
        <v>151</v>
      </c>
      <c r="D63" s="9" t="s">
        <v>28</v>
      </c>
      <c r="E63" s="21" t="s">
        <v>156</v>
      </c>
      <c r="F63" s="22" t="s">
        <v>118</v>
      </c>
      <c r="G63" s="23" t="s">
        <v>31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9">
        <f t="shared" si="1"/>
        <v>57</v>
      </c>
      <c r="B64" s="20" t="s">
        <v>157</v>
      </c>
      <c r="C64" s="20" t="s">
        <v>151</v>
      </c>
      <c r="D64" s="9" t="s">
        <v>33</v>
      </c>
      <c r="E64" s="21" t="s">
        <v>158</v>
      </c>
      <c r="F64" s="22" t="s">
        <v>118</v>
      </c>
      <c r="G64" s="23" t="s">
        <v>31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9">
        <f t="shared" si="1"/>
        <v>58</v>
      </c>
      <c r="B65" s="20" t="s">
        <v>159</v>
      </c>
      <c r="C65" s="20" t="s">
        <v>151</v>
      </c>
      <c r="D65" s="9" t="s">
        <v>64</v>
      </c>
      <c r="E65" s="21" t="s">
        <v>160</v>
      </c>
      <c r="F65" s="22" t="s">
        <v>118</v>
      </c>
      <c r="G65" s="23" t="s">
        <v>31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9">
        <f t="shared" si="1"/>
        <v>59</v>
      </c>
      <c r="B66" s="20" t="s">
        <v>161</v>
      </c>
      <c r="C66" s="20" t="s">
        <v>151</v>
      </c>
      <c r="D66" s="9" t="s">
        <v>33</v>
      </c>
      <c r="E66" s="21" t="s">
        <v>162</v>
      </c>
      <c r="F66" s="22" t="s">
        <v>118</v>
      </c>
      <c r="G66" s="23" t="s">
        <v>31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9">
        <f t="shared" si="1"/>
        <v>60</v>
      </c>
      <c r="B67" s="20" t="s">
        <v>163</v>
      </c>
      <c r="C67" s="20" t="s">
        <v>151</v>
      </c>
      <c r="D67" s="9" t="s">
        <v>33</v>
      </c>
      <c r="E67" s="21" t="s">
        <v>164</v>
      </c>
      <c r="F67" s="22" t="s">
        <v>118</v>
      </c>
      <c r="G67" s="23" t="s">
        <v>31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9">
        <f t="shared" si="1"/>
        <v>61</v>
      </c>
      <c r="B68" s="20" t="s">
        <v>165</v>
      </c>
      <c r="C68" s="20" t="s">
        <v>151</v>
      </c>
      <c r="D68" s="9" t="s">
        <v>64</v>
      </c>
      <c r="E68" s="21" t="s">
        <v>166</v>
      </c>
      <c r="F68" s="22" t="s">
        <v>118</v>
      </c>
      <c r="G68" s="23" t="s">
        <v>31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9">
        <f t="shared" si="1"/>
        <v>62</v>
      </c>
      <c r="B69" s="20" t="s">
        <v>167</v>
      </c>
      <c r="C69" s="20" t="s">
        <v>151</v>
      </c>
      <c r="D69" s="9" t="s">
        <v>64</v>
      </c>
      <c r="E69" s="21" t="s">
        <v>168</v>
      </c>
      <c r="F69" s="22" t="s">
        <v>118</v>
      </c>
      <c r="G69" s="23" t="s">
        <v>31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9">
        <f t="shared" si="1"/>
        <v>63</v>
      </c>
      <c r="B70" s="20" t="s">
        <v>169</v>
      </c>
      <c r="C70" s="20" t="s">
        <v>151</v>
      </c>
      <c r="D70" s="9" t="s">
        <v>64</v>
      </c>
      <c r="E70" s="21" t="s">
        <v>170</v>
      </c>
      <c r="F70" s="22" t="s">
        <v>118</v>
      </c>
      <c r="G70" s="23" t="s">
        <v>31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9">
        <f t="shared" si="1"/>
        <v>64</v>
      </c>
      <c r="B71" s="20" t="s">
        <v>171</v>
      </c>
      <c r="C71" s="20" t="s">
        <v>151</v>
      </c>
      <c r="D71" s="9" t="s">
        <v>64</v>
      </c>
      <c r="E71" s="21" t="s">
        <v>172</v>
      </c>
      <c r="F71" s="22" t="s">
        <v>118</v>
      </c>
      <c r="G71" s="23" t="s">
        <v>31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9">
        <f t="shared" si="1"/>
        <v>65</v>
      </c>
      <c r="B72" s="20" t="s">
        <v>173</v>
      </c>
      <c r="C72" s="20" t="s">
        <v>151</v>
      </c>
      <c r="D72" s="9" t="s">
        <v>28</v>
      </c>
      <c r="E72" s="21" t="s">
        <v>174</v>
      </c>
      <c r="F72" s="22" t="s">
        <v>118</v>
      </c>
      <c r="G72" s="23" t="s">
        <v>31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9">
        <f t="shared" si="1"/>
        <v>66</v>
      </c>
      <c r="B73" s="20" t="s">
        <v>175</v>
      </c>
      <c r="C73" s="20" t="s">
        <v>151</v>
      </c>
      <c r="D73" s="9" t="s">
        <v>28</v>
      </c>
      <c r="E73" s="21" t="s">
        <v>176</v>
      </c>
      <c r="F73" s="22" t="s">
        <v>118</v>
      </c>
      <c r="G73" s="23" t="s">
        <v>31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9">
        <f t="shared" si="1"/>
        <v>67</v>
      </c>
      <c r="B74" s="20" t="s">
        <v>177</v>
      </c>
      <c r="C74" s="20" t="s">
        <v>151</v>
      </c>
      <c r="D74" s="9" t="s">
        <v>28</v>
      </c>
      <c r="E74" s="21" t="s">
        <v>178</v>
      </c>
      <c r="F74" s="22" t="s">
        <v>118</v>
      </c>
      <c r="G74" s="23" t="s">
        <v>31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9">
        <f t="shared" si="1"/>
        <v>68</v>
      </c>
      <c r="B75" s="20" t="s">
        <v>179</v>
      </c>
      <c r="C75" s="20" t="s">
        <v>180</v>
      </c>
      <c r="D75" s="9" t="s">
        <v>33</v>
      </c>
      <c r="E75" s="21" t="s">
        <v>181</v>
      </c>
      <c r="F75" s="22" t="s">
        <v>118</v>
      </c>
      <c r="G75" s="23" t="s">
        <v>31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9">
        <f t="shared" si="1"/>
        <v>69</v>
      </c>
      <c r="B76" s="20" t="s">
        <v>182</v>
      </c>
      <c r="C76" s="20" t="s">
        <v>180</v>
      </c>
      <c r="D76" s="9" t="s">
        <v>33</v>
      </c>
      <c r="E76" s="21" t="s">
        <v>183</v>
      </c>
      <c r="F76" s="22" t="s">
        <v>118</v>
      </c>
      <c r="G76" s="23" t="s">
        <v>31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9">
        <f t="shared" si="1"/>
        <v>70</v>
      </c>
      <c r="B77" s="20" t="s">
        <v>184</v>
      </c>
      <c r="C77" s="20" t="s">
        <v>180</v>
      </c>
      <c r="D77" s="9" t="s">
        <v>28</v>
      </c>
      <c r="E77" s="21" t="s">
        <v>185</v>
      </c>
      <c r="F77" s="22" t="s">
        <v>118</v>
      </c>
      <c r="G77" s="23" t="s">
        <v>31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9">
        <f t="shared" si="1"/>
        <v>71</v>
      </c>
      <c r="B78" s="20" t="s">
        <v>186</v>
      </c>
      <c r="C78" s="20" t="s">
        <v>180</v>
      </c>
      <c r="D78" s="9" t="s">
        <v>64</v>
      </c>
      <c r="E78" s="21" t="s">
        <v>187</v>
      </c>
      <c r="F78" s="22" t="s">
        <v>118</v>
      </c>
      <c r="G78" s="23" t="s">
        <v>31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9">
        <f t="shared" si="1"/>
        <v>72</v>
      </c>
      <c r="B79" s="20" t="s">
        <v>188</v>
      </c>
      <c r="C79" s="20" t="s">
        <v>180</v>
      </c>
      <c r="D79" s="9" t="s">
        <v>33</v>
      </c>
      <c r="E79" s="21" t="s">
        <v>189</v>
      </c>
      <c r="F79" s="22" t="s">
        <v>118</v>
      </c>
      <c r="G79" s="23" t="s">
        <v>31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9">
        <f t="shared" si="1"/>
        <v>73</v>
      </c>
      <c r="B80" s="20" t="s">
        <v>190</v>
      </c>
      <c r="C80" s="20" t="s">
        <v>191</v>
      </c>
      <c r="D80" s="9" t="s">
        <v>33</v>
      </c>
      <c r="E80" s="21" t="s">
        <v>192</v>
      </c>
      <c r="F80" s="22" t="s">
        <v>118</v>
      </c>
      <c r="G80" s="23" t="s">
        <v>31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9">
        <f t="shared" si="1"/>
        <v>74</v>
      </c>
      <c r="B81" s="20" t="s">
        <v>193</v>
      </c>
      <c r="C81" s="20" t="s">
        <v>191</v>
      </c>
      <c r="D81" s="9" t="s">
        <v>64</v>
      </c>
      <c r="E81" s="21" t="s">
        <v>194</v>
      </c>
      <c r="F81" s="22" t="s">
        <v>118</v>
      </c>
      <c r="G81" s="23" t="s">
        <v>31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9">
        <f t="shared" si="1"/>
        <v>75</v>
      </c>
      <c r="B82" s="20" t="s">
        <v>195</v>
      </c>
      <c r="C82" s="20" t="s">
        <v>191</v>
      </c>
      <c r="D82" s="9" t="s">
        <v>33</v>
      </c>
      <c r="E82" s="21" t="s">
        <v>196</v>
      </c>
      <c r="F82" s="22" t="s">
        <v>118</v>
      </c>
      <c r="G82" s="23" t="s">
        <v>31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9">
        <f t="shared" si="1"/>
        <v>76</v>
      </c>
      <c r="B83" s="20" t="s">
        <v>197</v>
      </c>
      <c r="C83" s="20" t="s">
        <v>191</v>
      </c>
      <c r="D83" s="9" t="s">
        <v>33</v>
      </c>
      <c r="E83" s="21" t="s">
        <v>198</v>
      </c>
      <c r="F83" s="22" t="s">
        <v>118</v>
      </c>
      <c r="G83" s="23" t="s">
        <v>31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9">
        <f t="shared" si="1"/>
        <v>77</v>
      </c>
      <c r="B84" s="20" t="s">
        <v>199</v>
      </c>
      <c r="C84" s="20" t="s">
        <v>141</v>
      </c>
      <c r="D84" s="9" t="s">
        <v>33</v>
      </c>
      <c r="E84" s="21" t="s">
        <v>200</v>
      </c>
      <c r="F84" s="22" t="s">
        <v>118</v>
      </c>
      <c r="G84" s="23" t="s">
        <v>31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9">
        <f t="shared" si="1"/>
        <v>78</v>
      </c>
      <c r="B85" s="20" t="s">
        <v>201</v>
      </c>
      <c r="C85" s="20" t="s">
        <v>202</v>
      </c>
      <c r="D85" s="9" t="s">
        <v>33</v>
      </c>
      <c r="E85" s="21" t="s">
        <v>203</v>
      </c>
      <c r="F85" s="22" t="s">
        <v>204</v>
      </c>
      <c r="G85" s="23" t="s">
        <v>22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9">
        <f t="shared" si="1"/>
        <v>79</v>
      </c>
      <c r="B86" s="20" t="s">
        <v>205</v>
      </c>
      <c r="C86" s="20" t="s">
        <v>202</v>
      </c>
      <c r="D86" s="9" t="s">
        <v>64</v>
      </c>
      <c r="E86" s="21" t="s">
        <v>206</v>
      </c>
      <c r="F86" s="22" t="s">
        <v>204</v>
      </c>
      <c r="G86" s="23" t="s">
        <v>22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9">
        <f t="shared" si="1"/>
        <v>80</v>
      </c>
      <c r="B87" s="20" t="s">
        <v>207</v>
      </c>
      <c r="C87" s="20" t="s">
        <v>202</v>
      </c>
      <c r="D87" s="9" t="s">
        <v>28</v>
      </c>
      <c r="E87" s="21" t="s">
        <v>208</v>
      </c>
      <c r="F87" s="22" t="s">
        <v>204</v>
      </c>
      <c r="G87" s="23" t="s">
        <v>22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9">
        <f t="shared" si="1"/>
        <v>81</v>
      </c>
      <c r="B88" s="20" t="s">
        <v>209</v>
      </c>
      <c r="C88" s="20" t="s">
        <v>202</v>
      </c>
      <c r="D88" s="9" t="s">
        <v>33</v>
      </c>
      <c r="E88" s="21" t="s">
        <v>210</v>
      </c>
      <c r="F88" s="22" t="s">
        <v>204</v>
      </c>
      <c r="G88" s="23" t="s">
        <v>22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9">
        <f t="shared" si="1"/>
        <v>82</v>
      </c>
      <c r="B89" s="20" t="s">
        <v>211</v>
      </c>
      <c r="C89" s="20" t="s">
        <v>69</v>
      </c>
      <c r="D89" s="9" t="s">
        <v>33</v>
      </c>
      <c r="E89" s="21" t="s">
        <v>212</v>
      </c>
      <c r="F89" s="22" t="s">
        <v>204</v>
      </c>
      <c r="G89" s="23" t="s">
        <v>22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9">
        <f t="shared" si="1"/>
        <v>83</v>
      </c>
      <c r="B90" s="20" t="s">
        <v>213</v>
      </c>
      <c r="C90" s="20" t="s">
        <v>69</v>
      </c>
      <c r="D90" s="9" t="s">
        <v>33</v>
      </c>
      <c r="E90" s="21" t="s">
        <v>214</v>
      </c>
      <c r="F90" s="22" t="s">
        <v>204</v>
      </c>
      <c r="G90" s="23" t="s">
        <v>22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9">
        <f t="shared" si="1"/>
        <v>84</v>
      </c>
      <c r="B91" s="20" t="s">
        <v>215</v>
      </c>
      <c r="C91" s="20" t="s">
        <v>69</v>
      </c>
      <c r="D91" s="9" t="s">
        <v>33</v>
      </c>
      <c r="E91" s="21" t="s">
        <v>216</v>
      </c>
      <c r="F91" s="22" t="s">
        <v>204</v>
      </c>
      <c r="G91" s="23" t="s">
        <v>22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9">
        <f t="shared" si="1"/>
        <v>85</v>
      </c>
      <c r="B92" s="20" t="s">
        <v>217</v>
      </c>
      <c r="C92" s="20" t="s">
        <v>69</v>
      </c>
      <c r="D92" s="9" t="s">
        <v>33</v>
      </c>
      <c r="E92" s="21" t="s">
        <v>218</v>
      </c>
      <c r="F92" s="22" t="s">
        <v>204</v>
      </c>
      <c r="G92" s="23" t="s">
        <v>22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9">
        <f t="shared" si="1"/>
        <v>86</v>
      </c>
      <c r="B93" s="20" t="s">
        <v>219</v>
      </c>
      <c r="C93" s="20" t="s">
        <v>220</v>
      </c>
      <c r="D93" s="9" t="s">
        <v>33</v>
      </c>
      <c r="E93" s="21" t="s">
        <v>221</v>
      </c>
      <c r="F93" s="22" t="s">
        <v>204</v>
      </c>
      <c r="G93" s="23" t="s">
        <v>22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9">
        <f t="shared" si="1"/>
        <v>87</v>
      </c>
      <c r="B94" s="20" t="s">
        <v>222</v>
      </c>
      <c r="C94" s="20" t="s">
        <v>220</v>
      </c>
      <c r="D94" s="9" t="s">
        <v>33</v>
      </c>
      <c r="E94" s="21" t="s">
        <v>223</v>
      </c>
      <c r="F94" s="22" t="s">
        <v>204</v>
      </c>
      <c r="G94" s="23" t="s">
        <v>22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9">
        <f t="shared" si="1"/>
        <v>88</v>
      </c>
      <c r="B95" s="20" t="s">
        <v>224</v>
      </c>
      <c r="C95" s="20" t="s">
        <v>220</v>
      </c>
      <c r="D95" s="9" t="s">
        <v>33</v>
      </c>
      <c r="E95" s="21" t="s">
        <v>225</v>
      </c>
      <c r="F95" s="22" t="s">
        <v>204</v>
      </c>
      <c r="G95" s="23" t="s">
        <v>22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9">
        <f t="shared" si="1"/>
        <v>89</v>
      </c>
      <c r="B96" s="20" t="s">
        <v>226</v>
      </c>
      <c r="C96" s="20" t="s">
        <v>220</v>
      </c>
      <c r="D96" s="9" t="s">
        <v>28</v>
      </c>
      <c r="E96" s="21" t="s">
        <v>227</v>
      </c>
      <c r="F96" s="22" t="s">
        <v>204</v>
      </c>
      <c r="G96" s="23" t="s">
        <v>22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9">
        <f t="shared" si="1"/>
        <v>90</v>
      </c>
      <c r="B97" s="20" t="s">
        <v>228</v>
      </c>
      <c r="C97" s="20" t="s">
        <v>220</v>
      </c>
      <c r="D97" s="9" t="s">
        <v>33</v>
      </c>
      <c r="E97" s="21" t="s">
        <v>229</v>
      </c>
      <c r="F97" s="22" t="s">
        <v>204</v>
      </c>
      <c r="G97" s="23" t="s">
        <v>22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9">
        <f t="shared" si="1"/>
        <v>91</v>
      </c>
      <c r="B98" s="20" t="s">
        <v>230</v>
      </c>
      <c r="C98" s="20" t="s">
        <v>220</v>
      </c>
      <c r="D98" s="9" t="s">
        <v>28</v>
      </c>
      <c r="E98" s="21" t="s">
        <v>231</v>
      </c>
      <c r="F98" s="22" t="s">
        <v>204</v>
      </c>
      <c r="G98" s="23" t="s">
        <v>22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9">
        <f t="shared" si="1"/>
        <v>92</v>
      </c>
      <c r="B99" s="20" t="s">
        <v>232</v>
      </c>
      <c r="C99" s="20" t="s">
        <v>220</v>
      </c>
      <c r="D99" s="9" t="s">
        <v>33</v>
      </c>
      <c r="E99" s="21" t="s">
        <v>233</v>
      </c>
      <c r="F99" s="22" t="s">
        <v>204</v>
      </c>
      <c r="G99" s="23" t="s">
        <v>22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9">
        <f t="shared" si="1"/>
        <v>93</v>
      </c>
      <c r="B100" s="20" t="s">
        <v>234</v>
      </c>
      <c r="C100" s="20" t="s">
        <v>220</v>
      </c>
      <c r="D100" s="9" t="s">
        <v>28</v>
      </c>
      <c r="E100" s="21" t="s">
        <v>235</v>
      </c>
      <c r="F100" s="22" t="s">
        <v>204</v>
      </c>
      <c r="G100" s="23" t="s">
        <v>22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9">
        <f t="shared" si="1"/>
        <v>94</v>
      </c>
      <c r="B101" s="20" t="s">
        <v>236</v>
      </c>
      <c r="C101" s="20" t="s">
        <v>46</v>
      </c>
      <c r="D101" s="9" t="s">
        <v>33</v>
      </c>
      <c r="E101" s="21" t="s">
        <v>237</v>
      </c>
      <c r="F101" s="22" t="s">
        <v>204</v>
      </c>
      <c r="G101" s="23" t="s">
        <v>22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9">
        <f t="shared" si="1"/>
        <v>95</v>
      </c>
      <c r="B102" s="20" t="s">
        <v>238</v>
      </c>
      <c r="C102" s="20" t="s">
        <v>239</v>
      </c>
      <c r="D102" s="9" t="s">
        <v>64</v>
      </c>
      <c r="E102" s="21" t="s">
        <v>240</v>
      </c>
      <c r="F102" s="22" t="s">
        <v>204</v>
      </c>
      <c r="G102" s="23" t="s">
        <v>22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9">
        <f t="shared" si="1"/>
        <v>96</v>
      </c>
      <c r="B103" s="20" t="s">
        <v>241</v>
      </c>
      <c r="C103" s="20" t="s">
        <v>239</v>
      </c>
      <c r="D103" s="9" t="s">
        <v>33</v>
      </c>
      <c r="E103" s="21" t="s">
        <v>242</v>
      </c>
      <c r="F103" s="22" t="s">
        <v>204</v>
      </c>
      <c r="G103" s="23" t="s">
        <v>22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9">
        <f t="shared" si="1"/>
        <v>97</v>
      </c>
      <c r="B104" s="20" t="s">
        <v>243</v>
      </c>
      <c r="C104" s="20" t="s">
        <v>239</v>
      </c>
      <c r="D104" s="9" t="s">
        <v>33</v>
      </c>
      <c r="E104" s="21" t="s">
        <v>244</v>
      </c>
      <c r="F104" s="22" t="s">
        <v>204</v>
      </c>
      <c r="G104" s="23" t="s">
        <v>22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9">
        <f t="shared" si="1"/>
        <v>98</v>
      </c>
      <c r="B105" s="20" t="s">
        <v>245</v>
      </c>
      <c r="C105" s="20" t="s">
        <v>239</v>
      </c>
      <c r="D105" s="9" t="s">
        <v>28</v>
      </c>
      <c r="E105" s="21" t="s">
        <v>246</v>
      </c>
      <c r="F105" s="22" t="s">
        <v>204</v>
      </c>
      <c r="G105" s="23" t="s">
        <v>22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9">
        <f t="shared" si="1"/>
        <v>99</v>
      </c>
      <c r="B106" s="20" t="s">
        <v>247</v>
      </c>
      <c r="C106" s="20" t="s">
        <v>239</v>
      </c>
      <c r="D106" s="9" t="s">
        <v>28</v>
      </c>
      <c r="E106" s="21" t="s">
        <v>248</v>
      </c>
      <c r="F106" s="22" t="s">
        <v>204</v>
      </c>
      <c r="G106" s="23" t="s">
        <v>22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9">
        <f t="shared" si="1"/>
        <v>100</v>
      </c>
      <c r="B107" s="20" t="s">
        <v>249</v>
      </c>
      <c r="C107" s="20" t="s">
        <v>239</v>
      </c>
      <c r="D107" s="9" t="s">
        <v>28</v>
      </c>
      <c r="E107" s="21" t="s">
        <v>250</v>
      </c>
      <c r="F107" s="22" t="s">
        <v>204</v>
      </c>
      <c r="G107" s="23" t="s">
        <v>22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9">
        <f t="shared" si="1"/>
        <v>101</v>
      </c>
      <c r="B108" s="20" t="s">
        <v>251</v>
      </c>
      <c r="C108" s="20" t="s">
        <v>252</v>
      </c>
      <c r="D108" s="9" t="s">
        <v>33</v>
      </c>
      <c r="E108" s="21" t="s">
        <v>253</v>
      </c>
      <c r="F108" s="22" t="s">
        <v>204</v>
      </c>
      <c r="G108" s="23" t="s">
        <v>22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9">
        <f t="shared" si="1"/>
        <v>102</v>
      </c>
      <c r="B109" s="20" t="s">
        <v>254</v>
      </c>
      <c r="C109" s="20" t="s">
        <v>252</v>
      </c>
      <c r="D109" s="9" t="s">
        <v>33</v>
      </c>
      <c r="E109" s="21" t="s">
        <v>255</v>
      </c>
      <c r="F109" s="22" t="s">
        <v>204</v>
      </c>
      <c r="G109" s="23" t="s">
        <v>22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9">
        <f t="shared" si="1"/>
        <v>103</v>
      </c>
      <c r="B110" s="20" t="s">
        <v>256</v>
      </c>
      <c r="C110" s="20" t="s">
        <v>252</v>
      </c>
      <c r="D110" s="9" t="s">
        <v>28</v>
      </c>
      <c r="E110" s="21" t="s">
        <v>257</v>
      </c>
      <c r="F110" s="22" t="s">
        <v>204</v>
      </c>
      <c r="G110" s="23" t="s">
        <v>22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9">
        <f t="shared" si="1"/>
        <v>104</v>
      </c>
      <c r="B111" s="20" t="s">
        <v>258</v>
      </c>
      <c r="C111" s="20" t="s">
        <v>252</v>
      </c>
      <c r="D111" s="9" t="s">
        <v>28</v>
      </c>
      <c r="E111" s="21" t="s">
        <v>259</v>
      </c>
      <c r="F111" s="22" t="s">
        <v>204</v>
      </c>
      <c r="G111" s="23" t="s">
        <v>22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9">
        <f t="shared" si="1"/>
        <v>105</v>
      </c>
      <c r="B112" s="20" t="s">
        <v>260</v>
      </c>
      <c r="C112" s="20" t="s">
        <v>252</v>
      </c>
      <c r="D112" s="9" t="s">
        <v>33</v>
      </c>
      <c r="E112" s="21" t="s">
        <v>261</v>
      </c>
      <c r="F112" s="22" t="s">
        <v>204</v>
      </c>
      <c r="G112" s="23" t="s">
        <v>22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9">
        <f t="shared" si="1"/>
        <v>106</v>
      </c>
      <c r="B113" s="20" t="s">
        <v>262</v>
      </c>
      <c r="C113" s="20" t="s">
        <v>252</v>
      </c>
      <c r="D113" s="9" t="s">
        <v>28</v>
      </c>
      <c r="E113" s="21" t="s">
        <v>263</v>
      </c>
      <c r="F113" s="22" t="s">
        <v>204</v>
      </c>
      <c r="G113" s="23" t="s">
        <v>22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9">
        <f t="shared" si="1"/>
        <v>107</v>
      </c>
      <c r="B114" s="20" t="s">
        <v>264</v>
      </c>
      <c r="C114" s="20" t="s">
        <v>265</v>
      </c>
      <c r="D114" s="9" t="s">
        <v>33</v>
      </c>
      <c r="E114" s="21" t="s">
        <v>266</v>
      </c>
      <c r="F114" s="22" t="s">
        <v>204</v>
      </c>
      <c r="G114" s="23" t="s">
        <v>22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9">
        <f t="shared" si="1"/>
        <v>108</v>
      </c>
      <c r="B115" s="20" t="s">
        <v>267</v>
      </c>
      <c r="C115" s="20" t="s">
        <v>265</v>
      </c>
      <c r="D115" s="9" t="s">
        <v>33</v>
      </c>
      <c r="E115" s="21" t="s">
        <v>268</v>
      </c>
      <c r="F115" s="22" t="s">
        <v>204</v>
      </c>
      <c r="G115" s="23" t="s">
        <v>22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9">
        <f t="shared" si="1"/>
        <v>109</v>
      </c>
      <c r="B116" s="20" t="s">
        <v>269</v>
      </c>
      <c r="C116" s="20" t="s">
        <v>56</v>
      </c>
      <c r="D116" s="9" t="s">
        <v>28</v>
      </c>
      <c r="E116" s="21" t="s">
        <v>270</v>
      </c>
      <c r="F116" s="22" t="s">
        <v>204</v>
      </c>
      <c r="G116" s="23" t="s">
        <v>22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9">
        <f t="shared" si="1"/>
        <v>110</v>
      </c>
      <c r="B117" s="20" t="s">
        <v>271</v>
      </c>
      <c r="C117" s="20" t="s">
        <v>272</v>
      </c>
      <c r="D117" s="9" t="s">
        <v>33</v>
      </c>
      <c r="E117" s="21" t="s">
        <v>273</v>
      </c>
      <c r="F117" s="22" t="s">
        <v>204</v>
      </c>
      <c r="G117" s="23" t="s">
        <v>22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9">
        <f t="shared" si="1"/>
        <v>111</v>
      </c>
      <c r="B118" s="20" t="s">
        <v>274</v>
      </c>
      <c r="C118" s="20" t="s">
        <v>272</v>
      </c>
      <c r="D118" s="9" t="s">
        <v>64</v>
      </c>
      <c r="E118" s="21" t="s">
        <v>275</v>
      </c>
      <c r="F118" s="22" t="s">
        <v>204</v>
      </c>
      <c r="G118" s="23" t="s">
        <v>22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9">
        <f t="shared" si="1"/>
        <v>112</v>
      </c>
      <c r="B119" s="20" t="s">
        <v>276</v>
      </c>
      <c r="C119" s="20" t="s">
        <v>272</v>
      </c>
      <c r="D119" s="9" t="s">
        <v>33</v>
      </c>
      <c r="E119" s="21" t="s">
        <v>277</v>
      </c>
      <c r="F119" s="22" t="s">
        <v>204</v>
      </c>
      <c r="G119" s="23" t="s">
        <v>22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9">
        <f t="shared" si="1"/>
        <v>113</v>
      </c>
      <c r="B120" s="20" t="s">
        <v>278</v>
      </c>
      <c r="C120" s="20" t="s">
        <v>272</v>
      </c>
      <c r="D120" s="9" t="s">
        <v>28</v>
      </c>
      <c r="E120" s="21" t="s">
        <v>279</v>
      </c>
      <c r="F120" s="22" t="s">
        <v>204</v>
      </c>
      <c r="G120" s="23" t="s">
        <v>22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9">
        <f t="shared" si="1"/>
        <v>114</v>
      </c>
      <c r="B121" s="20" t="s">
        <v>280</v>
      </c>
      <c r="C121" s="20" t="s">
        <v>272</v>
      </c>
      <c r="D121" s="9" t="s">
        <v>28</v>
      </c>
      <c r="E121" s="21" t="s">
        <v>281</v>
      </c>
      <c r="F121" s="22" t="s">
        <v>204</v>
      </c>
      <c r="G121" s="23" t="s">
        <v>22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9">
        <f t="shared" si="1"/>
        <v>115</v>
      </c>
      <c r="B122" s="20" t="s">
        <v>282</v>
      </c>
      <c r="C122" s="20" t="s">
        <v>272</v>
      </c>
      <c r="D122" s="9" t="s">
        <v>33</v>
      </c>
      <c r="E122" s="21" t="s">
        <v>283</v>
      </c>
      <c r="F122" s="22" t="s">
        <v>284</v>
      </c>
      <c r="G122" s="23" t="s">
        <v>22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9">
        <f t="shared" si="1"/>
        <v>116</v>
      </c>
      <c r="B123" s="20" t="s">
        <v>285</v>
      </c>
      <c r="C123" s="20" t="s">
        <v>286</v>
      </c>
      <c r="D123" s="9" t="s">
        <v>33</v>
      </c>
      <c r="E123" s="21" t="s">
        <v>287</v>
      </c>
      <c r="F123" s="22" t="s">
        <v>284</v>
      </c>
      <c r="G123" s="23" t="s">
        <v>22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9">
        <f t="shared" si="1"/>
        <v>117</v>
      </c>
      <c r="B124" s="20" t="s">
        <v>288</v>
      </c>
      <c r="C124" s="20" t="s">
        <v>286</v>
      </c>
      <c r="D124" s="9" t="s">
        <v>64</v>
      </c>
      <c r="E124" s="21" t="s">
        <v>289</v>
      </c>
      <c r="F124" s="22" t="s">
        <v>284</v>
      </c>
      <c r="G124" s="23" t="s">
        <v>22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9">
        <f t="shared" si="1"/>
        <v>118</v>
      </c>
      <c r="B125" s="20" t="s">
        <v>290</v>
      </c>
      <c r="C125" s="20" t="s">
        <v>291</v>
      </c>
      <c r="D125" s="9" t="s">
        <v>33</v>
      </c>
      <c r="E125" s="21" t="s">
        <v>292</v>
      </c>
      <c r="F125" s="22" t="s">
        <v>284</v>
      </c>
      <c r="G125" s="23" t="s">
        <v>22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9">
        <f t="shared" si="1"/>
        <v>119</v>
      </c>
      <c r="B126" s="20" t="s">
        <v>293</v>
      </c>
      <c r="C126" s="20" t="s">
        <v>291</v>
      </c>
      <c r="D126" s="9" t="s">
        <v>28</v>
      </c>
      <c r="E126" s="21" t="s">
        <v>294</v>
      </c>
      <c r="F126" s="22" t="s">
        <v>284</v>
      </c>
      <c r="G126" s="23" t="s">
        <v>22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9">
        <f t="shared" si="1"/>
        <v>120</v>
      </c>
      <c r="B127" s="20" t="s">
        <v>295</v>
      </c>
      <c r="C127" s="20" t="s">
        <v>296</v>
      </c>
      <c r="D127" s="9" t="s">
        <v>33</v>
      </c>
      <c r="E127" s="21" t="s">
        <v>297</v>
      </c>
      <c r="F127" s="22" t="s">
        <v>284</v>
      </c>
      <c r="G127" s="23" t="s">
        <v>22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9">
        <f t="shared" si="1"/>
        <v>121</v>
      </c>
      <c r="B128" s="20" t="s">
        <v>298</v>
      </c>
      <c r="C128" s="20" t="s">
        <v>296</v>
      </c>
      <c r="D128" s="9" t="s">
        <v>33</v>
      </c>
      <c r="E128" s="21" t="s">
        <v>299</v>
      </c>
      <c r="F128" s="22" t="s">
        <v>284</v>
      </c>
      <c r="G128" s="23" t="s">
        <v>22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9">
        <f t="shared" si="1"/>
        <v>122</v>
      </c>
      <c r="B129" s="20" t="s">
        <v>300</v>
      </c>
      <c r="C129" s="20" t="s">
        <v>301</v>
      </c>
      <c r="D129" s="9" t="s">
        <v>33</v>
      </c>
      <c r="E129" s="21" t="s">
        <v>302</v>
      </c>
      <c r="F129" s="22" t="s">
        <v>284</v>
      </c>
      <c r="G129" s="23" t="s">
        <v>22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9">
        <f t="shared" si="1"/>
        <v>123</v>
      </c>
      <c r="B130" s="20" t="s">
        <v>303</v>
      </c>
      <c r="C130" s="20" t="s">
        <v>301</v>
      </c>
      <c r="D130" s="9" t="s">
        <v>64</v>
      </c>
      <c r="E130" s="21" t="s">
        <v>304</v>
      </c>
      <c r="F130" s="22" t="s">
        <v>284</v>
      </c>
      <c r="G130" s="23" t="s">
        <v>22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9">
        <f t="shared" si="1"/>
        <v>124</v>
      </c>
      <c r="B131" s="20" t="s">
        <v>305</v>
      </c>
      <c r="C131" s="20" t="s">
        <v>301</v>
      </c>
      <c r="D131" s="9" t="s">
        <v>33</v>
      </c>
      <c r="E131" s="21" t="s">
        <v>306</v>
      </c>
      <c r="F131" s="22" t="s">
        <v>284</v>
      </c>
      <c r="G131" s="23" t="s">
        <v>22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9">
        <f t="shared" si="1"/>
        <v>125</v>
      </c>
      <c r="B132" s="20" t="s">
        <v>307</v>
      </c>
      <c r="C132" s="20" t="s">
        <v>301</v>
      </c>
      <c r="D132" s="9" t="s">
        <v>28</v>
      </c>
      <c r="E132" s="21" t="s">
        <v>308</v>
      </c>
      <c r="F132" s="22" t="s">
        <v>284</v>
      </c>
      <c r="G132" s="23" t="s">
        <v>22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9">
        <f t="shared" si="1"/>
        <v>126</v>
      </c>
      <c r="B133" s="20" t="s">
        <v>309</v>
      </c>
      <c r="C133" s="20" t="s">
        <v>310</v>
      </c>
      <c r="D133" s="9" t="s">
        <v>28</v>
      </c>
      <c r="E133" s="21" t="s">
        <v>311</v>
      </c>
      <c r="F133" s="22" t="s">
        <v>284</v>
      </c>
      <c r="G133" s="23" t="s">
        <v>22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9">
        <f t="shared" si="1"/>
        <v>127</v>
      </c>
      <c r="B134" s="20" t="s">
        <v>312</v>
      </c>
      <c r="C134" s="20" t="s">
        <v>310</v>
      </c>
      <c r="D134" s="9" t="s">
        <v>33</v>
      </c>
      <c r="E134" s="21" t="s">
        <v>313</v>
      </c>
      <c r="F134" s="22" t="s">
        <v>284</v>
      </c>
      <c r="G134" s="23" t="s">
        <v>22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9">
        <f t="shared" si="1"/>
        <v>128</v>
      </c>
      <c r="B135" s="20" t="s">
        <v>314</v>
      </c>
      <c r="C135" s="20" t="s">
        <v>310</v>
      </c>
      <c r="D135" s="9" t="s">
        <v>28</v>
      </c>
      <c r="E135" s="21" t="s">
        <v>315</v>
      </c>
      <c r="F135" s="22" t="s">
        <v>284</v>
      </c>
      <c r="G135" s="23" t="s">
        <v>22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9">
        <f t="shared" si="1"/>
        <v>129</v>
      </c>
      <c r="B136" s="20" t="s">
        <v>316</v>
      </c>
      <c r="C136" s="20" t="s">
        <v>317</v>
      </c>
      <c r="D136" s="9" t="s">
        <v>33</v>
      </c>
      <c r="E136" s="21" t="s">
        <v>318</v>
      </c>
      <c r="F136" s="22" t="s">
        <v>284</v>
      </c>
      <c r="G136" s="23" t="s">
        <v>22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9">
        <f t="shared" si="1"/>
        <v>130</v>
      </c>
      <c r="B137" s="20" t="s">
        <v>236</v>
      </c>
      <c r="C137" s="20" t="s">
        <v>296</v>
      </c>
      <c r="D137" s="9" t="s">
        <v>28</v>
      </c>
      <c r="E137" s="21" t="s">
        <v>319</v>
      </c>
      <c r="F137" s="22" t="s">
        <v>284</v>
      </c>
      <c r="G137" s="23" t="s">
        <v>22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9">
        <f t="shared" si="1"/>
        <v>131</v>
      </c>
      <c r="B138" s="20" t="s">
        <v>320</v>
      </c>
      <c r="C138" s="20" t="s">
        <v>321</v>
      </c>
      <c r="D138" s="9" t="s">
        <v>64</v>
      </c>
      <c r="E138" s="21" t="s">
        <v>322</v>
      </c>
      <c r="F138" s="22" t="s">
        <v>284</v>
      </c>
      <c r="G138" s="23" t="s">
        <v>22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9">
        <f t="shared" si="1"/>
        <v>132</v>
      </c>
      <c r="B139" s="20" t="s">
        <v>323</v>
      </c>
      <c r="C139" s="20" t="s">
        <v>324</v>
      </c>
      <c r="D139" s="9" t="s">
        <v>33</v>
      </c>
      <c r="E139" s="21" t="s">
        <v>325</v>
      </c>
      <c r="F139" s="22" t="s">
        <v>284</v>
      </c>
      <c r="G139" s="23" t="s">
        <v>22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9">
        <f t="shared" si="1"/>
        <v>133</v>
      </c>
      <c r="B140" s="20" t="s">
        <v>326</v>
      </c>
      <c r="C140" s="20" t="s">
        <v>324</v>
      </c>
      <c r="D140" s="9" t="s">
        <v>33</v>
      </c>
      <c r="E140" s="21" t="s">
        <v>327</v>
      </c>
      <c r="F140" s="22" t="s">
        <v>284</v>
      </c>
      <c r="G140" s="23" t="s">
        <v>22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9">
        <f t="shared" si="1"/>
        <v>134</v>
      </c>
      <c r="B141" s="20" t="s">
        <v>328</v>
      </c>
      <c r="C141" s="20" t="s">
        <v>324</v>
      </c>
      <c r="D141" s="9" t="s">
        <v>28</v>
      </c>
      <c r="E141" s="21" t="s">
        <v>329</v>
      </c>
      <c r="F141" s="22" t="s">
        <v>284</v>
      </c>
      <c r="G141" s="23" t="s">
        <v>22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9">
        <f t="shared" si="1"/>
        <v>135</v>
      </c>
      <c r="B142" s="20" t="s">
        <v>330</v>
      </c>
      <c r="C142" s="20" t="s">
        <v>324</v>
      </c>
      <c r="D142" s="9" t="s">
        <v>28</v>
      </c>
      <c r="E142" s="21" t="s">
        <v>331</v>
      </c>
      <c r="F142" s="22" t="s">
        <v>284</v>
      </c>
      <c r="G142" s="23" t="s">
        <v>22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9">
        <f t="shared" si="1"/>
        <v>136</v>
      </c>
      <c r="B143" s="20" t="s">
        <v>332</v>
      </c>
      <c r="C143" s="20" t="s">
        <v>333</v>
      </c>
      <c r="D143" s="9" t="s">
        <v>28</v>
      </c>
      <c r="E143" s="21" t="s">
        <v>334</v>
      </c>
      <c r="F143" s="22" t="s">
        <v>284</v>
      </c>
      <c r="G143" s="23" t="s">
        <v>22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9">
        <f t="shared" si="1"/>
        <v>137</v>
      </c>
      <c r="B144" s="20" t="s">
        <v>335</v>
      </c>
      <c r="C144" s="20" t="s">
        <v>333</v>
      </c>
      <c r="D144" s="9" t="s">
        <v>33</v>
      </c>
      <c r="E144" s="21" t="s">
        <v>336</v>
      </c>
      <c r="F144" s="22" t="s">
        <v>284</v>
      </c>
      <c r="G144" s="23" t="s">
        <v>22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9">
        <f t="shared" si="1"/>
        <v>138</v>
      </c>
      <c r="B145" s="20" t="s">
        <v>337</v>
      </c>
      <c r="C145" s="20" t="s">
        <v>333</v>
      </c>
      <c r="D145" s="9" t="s">
        <v>28</v>
      </c>
      <c r="E145" s="21" t="s">
        <v>338</v>
      </c>
      <c r="F145" s="22" t="s">
        <v>284</v>
      </c>
      <c r="G145" s="23" t="s">
        <v>22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9">
        <f t="shared" si="1"/>
        <v>139</v>
      </c>
      <c r="B146" s="20" t="s">
        <v>339</v>
      </c>
      <c r="C146" s="20" t="s">
        <v>340</v>
      </c>
      <c r="D146" s="9" t="s">
        <v>28</v>
      </c>
      <c r="E146" s="21" t="s">
        <v>341</v>
      </c>
      <c r="F146" s="22" t="s">
        <v>284</v>
      </c>
      <c r="G146" s="23" t="s">
        <v>22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9">
        <f t="shared" si="1"/>
        <v>140</v>
      </c>
      <c r="B147" s="20" t="s">
        <v>342</v>
      </c>
      <c r="C147" s="20" t="s">
        <v>340</v>
      </c>
      <c r="D147" s="9" t="s">
        <v>33</v>
      </c>
      <c r="E147" s="21" t="s">
        <v>343</v>
      </c>
      <c r="F147" s="22" t="s">
        <v>284</v>
      </c>
      <c r="G147" s="23" t="s">
        <v>22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9">
        <f t="shared" si="1"/>
        <v>141</v>
      </c>
      <c r="B148" s="20" t="s">
        <v>344</v>
      </c>
      <c r="C148" s="20" t="s">
        <v>340</v>
      </c>
      <c r="D148" s="9" t="s">
        <v>33</v>
      </c>
      <c r="E148" s="21" t="s">
        <v>345</v>
      </c>
      <c r="F148" s="22" t="s">
        <v>284</v>
      </c>
      <c r="G148" s="23" t="s">
        <v>22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9">
        <f t="shared" si="1"/>
        <v>142</v>
      </c>
      <c r="B149" s="20" t="s">
        <v>346</v>
      </c>
      <c r="C149" s="20" t="s">
        <v>340</v>
      </c>
      <c r="D149" s="9" t="s">
        <v>28</v>
      </c>
      <c r="E149" s="21" t="s">
        <v>347</v>
      </c>
      <c r="F149" s="22" t="s">
        <v>284</v>
      </c>
      <c r="G149" s="23" t="s">
        <v>22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9">
        <f t="shared" si="1"/>
        <v>143</v>
      </c>
      <c r="B150" s="20" t="s">
        <v>348</v>
      </c>
      <c r="C150" s="20" t="s">
        <v>349</v>
      </c>
      <c r="D150" s="9" t="s">
        <v>64</v>
      </c>
      <c r="E150" s="21" t="s">
        <v>350</v>
      </c>
      <c r="F150" s="22" t="s">
        <v>284</v>
      </c>
      <c r="G150" s="23" t="s">
        <v>22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9">
        <f t="shared" si="1"/>
        <v>144</v>
      </c>
      <c r="B151" s="20" t="s">
        <v>351</v>
      </c>
      <c r="C151" s="20" t="s">
        <v>349</v>
      </c>
      <c r="D151" s="9" t="s">
        <v>33</v>
      </c>
      <c r="E151" s="21" t="s">
        <v>352</v>
      </c>
      <c r="F151" s="22" t="s">
        <v>284</v>
      </c>
      <c r="G151" s="23" t="s">
        <v>22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9">
        <f t="shared" si="1"/>
        <v>145</v>
      </c>
      <c r="B152" s="20" t="s">
        <v>353</v>
      </c>
      <c r="C152" s="20" t="s">
        <v>354</v>
      </c>
      <c r="D152" s="9" t="s">
        <v>64</v>
      </c>
      <c r="E152" s="21" t="s">
        <v>355</v>
      </c>
      <c r="F152" s="22" t="s">
        <v>284</v>
      </c>
      <c r="G152" s="23" t="s">
        <v>22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9">
        <f t="shared" si="1"/>
        <v>146</v>
      </c>
      <c r="B153" s="20" t="s">
        <v>356</v>
      </c>
      <c r="C153" s="20" t="s">
        <v>354</v>
      </c>
      <c r="D153" s="9" t="s">
        <v>33</v>
      </c>
      <c r="E153" s="21" t="s">
        <v>357</v>
      </c>
      <c r="F153" s="22" t="s">
        <v>284</v>
      </c>
      <c r="G153" s="23" t="s">
        <v>22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9">
        <f t="shared" si="1"/>
        <v>147</v>
      </c>
      <c r="B154" s="20" t="s">
        <v>358</v>
      </c>
      <c r="C154" s="20" t="s">
        <v>354</v>
      </c>
      <c r="D154" s="9" t="s">
        <v>64</v>
      </c>
      <c r="E154" s="21" t="s">
        <v>359</v>
      </c>
      <c r="F154" s="22" t="s">
        <v>284</v>
      </c>
      <c r="G154" s="23" t="s">
        <v>22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9">
        <f t="shared" si="1"/>
        <v>148</v>
      </c>
      <c r="B155" s="20" t="s">
        <v>360</v>
      </c>
      <c r="C155" s="20" t="s">
        <v>354</v>
      </c>
      <c r="D155" s="9" t="s">
        <v>28</v>
      </c>
      <c r="E155" s="21" t="s">
        <v>361</v>
      </c>
      <c r="F155" s="22" t="s">
        <v>284</v>
      </c>
      <c r="G155" s="23" t="s">
        <v>22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9">
        <f t="shared" si="1"/>
        <v>149</v>
      </c>
      <c r="B156" s="20" t="s">
        <v>362</v>
      </c>
      <c r="C156" s="20" t="s">
        <v>363</v>
      </c>
      <c r="D156" s="9" t="s">
        <v>33</v>
      </c>
      <c r="E156" s="21" t="s">
        <v>364</v>
      </c>
      <c r="F156" s="22" t="s">
        <v>284</v>
      </c>
      <c r="G156" s="23" t="s">
        <v>22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9">
        <f t="shared" si="1"/>
        <v>150</v>
      </c>
      <c r="B157" s="20" t="s">
        <v>365</v>
      </c>
      <c r="C157" s="20" t="s">
        <v>363</v>
      </c>
      <c r="D157" s="9" t="s">
        <v>33</v>
      </c>
      <c r="E157" s="21" t="s">
        <v>366</v>
      </c>
      <c r="F157" s="22" t="s">
        <v>284</v>
      </c>
      <c r="G157" s="23" t="s">
        <v>22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25" t="s">
        <v>367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2"/>
      <c r="B160" s="26" t="s">
        <v>368</v>
      </c>
      <c r="C160" s="27" t="s">
        <v>369</v>
      </c>
      <c r="D160" s="28" t="s">
        <v>370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2"/>
      <c r="B161" s="26" t="s">
        <v>371</v>
      </c>
      <c r="C161" s="27" t="s">
        <v>372</v>
      </c>
      <c r="D161" s="28" t="s">
        <v>373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2"/>
      <c r="B162" s="26" t="s">
        <v>374</v>
      </c>
      <c r="C162" s="27" t="s">
        <v>375</v>
      </c>
      <c r="D162" s="28" t="s">
        <v>376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29" t="s">
        <v>377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29" t="s">
        <v>378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29" t="s">
        <v>379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7:$G$157"/>
  <dataValidations>
    <dataValidation type="list" allowBlank="1" sqref="D8:D157">
      <formula1>"Simple,Medium,Complex"</formula1>
    </dataValidation>
    <dataValidation type="list" allowBlank="1" sqref="G8:G157">
      <formula1>"Pending,Doing,Deferred,Cancelled,Done"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60.0"/>
    <col customWidth="1" min="3" max="3" width="46.0"/>
    <col customWidth="1" min="4" max="5" width="10.0"/>
    <col customWidth="1" min="6" max="7" width="12.0"/>
    <col customWidth="1" min="8" max="8" width="10.0"/>
    <col customWidth="1" min="9" max="9" width="60.0"/>
    <col customWidth="1" min="10" max="26" width="14.5"/>
  </cols>
  <sheetData>
    <row r="1" ht="15.75" customHeight="1">
      <c r="A1" s="1" t="s">
        <v>0</v>
      </c>
    </row>
    <row r="2" ht="15.75" customHeight="1">
      <c r="A2" s="3"/>
    </row>
    <row r="3" ht="15.75" customHeight="1">
      <c r="A3" s="5" t="s">
        <v>1</v>
      </c>
      <c r="B3" s="5" t="s">
        <v>2</v>
      </c>
      <c r="C3" s="5" t="s">
        <v>3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/>
      <c r="B4" s="9"/>
      <c r="C4" s="9"/>
      <c r="D4" s="13"/>
      <c r="E4" s="14"/>
      <c r="F4" s="14"/>
      <c r="G4" s="14"/>
      <c r="H4" s="13"/>
      <c r="I4" s="16"/>
    </row>
    <row r="5" ht="15.75" customHeight="1">
      <c r="A5" s="8"/>
      <c r="B5" s="9"/>
      <c r="C5" s="9"/>
      <c r="D5" s="13"/>
      <c r="E5" s="14"/>
      <c r="F5" s="14"/>
      <c r="G5" s="14"/>
      <c r="H5" s="13"/>
      <c r="I5" s="16"/>
    </row>
    <row r="6" ht="15.75" customHeight="1">
      <c r="A6" s="8"/>
      <c r="B6" s="9"/>
      <c r="C6" s="9"/>
      <c r="D6" s="13"/>
      <c r="E6" s="14"/>
      <c r="F6" s="14"/>
      <c r="G6" s="14"/>
      <c r="H6" s="13"/>
      <c r="I6" s="16"/>
    </row>
    <row r="7" ht="15.75" customHeight="1">
      <c r="A7" s="8"/>
      <c r="B7" s="9"/>
      <c r="C7" s="9"/>
      <c r="D7" s="13"/>
      <c r="E7" s="14"/>
      <c r="F7" s="14"/>
      <c r="G7" s="14"/>
      <c r="H7" s="13"/>
      <c r="I7" s="16"/>
    </row>
    <row r="8" ht="15.75" customHeight="1">
      <c r="A8" s="8"/>
      <c r="B8" s="9"/>
      <c r="C8" s="9"/>
      <c r="D8" s="13"/>
      <c r="E8" s="14"/>
      <c r="F8" s="14"/>
      <c r="G8" s="14"/>
      <c r="H8" s="13"/>
      <c r="I8" s="16"/>
    </row>
    <row r="9" ht="15.75" customHeight="1">
      <c r="A9" s="8"/>
      <c r="B9" s="9"/>
      <c r="C9" s="9"/>
      <c r="D9" s="13"/>
      <c r="E9" s="14"/>
      <c r="F9" s="14"/>
      <c r="G9" s="14"/>
      <c r="H9" s="13"/>
      <c r="I9" s="16"/>
    </row>
    <row r="10" ht="15.75" customHeight="1">
      <c r="A10" s="8"/>
      <c r="B10" s="9"/>
      <c r="C10" s="9"/>
      <c r="D10" s="13"/>
      <c r="E10" s="14"/>
      <c r="F10" s="14"/>
      <c r="G10" s="14"/>
      <c r="H10" s="13"/>
      <c r="I10" s="16"/>
    </row>
    <row r="11" ht="15.75" customHeight="1">
      <c r="A11" s="3"/>
    </row>
    <row r="12" ht="15.75" customHeight="1">
      <c r="A12" s="3"/>
    </row>
    <row r="13" ht="15.75" customHeight="1">
      <c r="A13" s="3"/>
    </row>
    <row r="14" ht="15.75" customHeight="1">
      <c r="A14" s="3"/>
    </row>
    <row r="15" ht="15.75" customHeight="1">
      <c r="A15" s="3"/>
    </row>
    <row r="16" ht="15.75" customHeight="1">
      <c r="A16" s="3"/>
    </row>
    <row r="17" ht="15.75" customHeight="1">
      <c r="A17" s="3"/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autoFilter ref="$B$3:$I$10"/>
  <dataValidations>
    <dataValidation type="list" allowBlank="1" showErrorMessage="1" sqref="H4:H10">
      <formula1>"Open,Closed,Cancelled"</formula1>
    </dataValidation>
    <dataValidation type="list" allowBlank="1" showErrorMessage="1" sqref="D4:D10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17.5"/>
    <col customWidth="1" min="3" max="3" width="14.5"/>
    <col customWidth="1" min="4" max="4" width="41.5"/>
    <col customWidth="1" min="5" max="6" width="14.5"/>
    <col customWidth="1" min="7" max="7" width="48.38"/>
    <col customWidth="1" min="8" max="26" width="14.5"/>
  </cols>
  <sheetData>
    <row r="1" ht="15.75" customHeight="1">
      <c r="A1" s="6" t="s">
        <v>4</v>
      </c>
    </row>
    <row r="2" ht="15.75" customHeight="1"/>
    <row r="3" ht="12.75" customHeight="1">
      <c r="A3" s="5" t="s">
        <v>12</v>
      </c>
      <c r="B3" s="5" t="s">
        <v>14</v>
      </c>
      <c r="C3" s="5" t="s">
        <v>16</v>
      </c>
      <c r="D3" s="5" t="s">
        <v>18</v>
      </c>
      <c r="E3" s="5" t="s">
        <v>19</v>
      </c>
      <c r="F3" s="5" t="s">
        <v>9</v>
      </c>
      <c r="G3" s="5" t="s">
        <v>11</v>
      </c>
    </row>
    <row r="4" ht="12.75" customHeight="1">
      <c r="A4" s="10"/>
      <c r="B4" s="10"/>
      <c r="C4" s="10"/>
      <c r="D4" s="10"/>
      <c r="E4" s="10"/>
      <c r="F4" s="10" t="s">
        <v>22</v>
      </c>
      <c r="G4" s="10"/>
    </row>
    <row r="5" ht="12.75" customHeight="1">
      <c r="A5" s="10"/>
      <c r="B5" s="10"/>
      <c r="C5" s="10"/>
      <c r="D5" s="10"/>
      <c r="E5" s="10"/>
      <c r="F5" s="10" t="s">
        <v>22</v>
      </c>
      <c r="G5" s="10"/>
    </row>
    <row r="6" ht="12.75" customHeight="1">
      <c r="A6" s="10"/>
      <c r="B6" s="10"/>
      <c r="C6" s="10"/>
      <c r="D6" s="10"/>
      <c r="E6" s="10"/>
      <c r="F6" s="10" t="s">
        <v>22</v>
      </c>
      <c r="G6" s="10"/>
    </row>
    <row r="7" ht="12.75" customHeight="1">
      <c r="A7" s="10"/>
      <c r="B7" s="10"/>
      <c r="C7" s="10"/>
      <c r="D7" s="10"/>
      <c r="E7" s="10"/>
      <c r="F7" s="10" t="s">
        <v>22</v>
      </c>
      <c r="G7" s="10"/>
    </row>
    <row r="8" ht="12.75" customHeight="1">
      <c r="A8" s="10"/>
      <c r="B8" s="10"/>
      <c r="C8" s="10"/>
      <c r="D8" s="10"/>
      <c r="E8" s="10"/>
      <c r="F8" s="10" t="s">
        <v>22</v>
      </c>
      <c r="G8" s="10"/>
    </row>
    <row r="9" ht="12.75" customHeight="1">
      <c r="A9" s="10"/>
      <c r="B9" s="10"/>
      <c r="C9" s="10"/>
      <c r="D9" s="10"/>
      <c r="E9" s="10"/>
      <c r="F9" s="10" t="s">
        <v>22</v>
      </c>
      <c r="G9" s="10"/>
    </row>
    <row r="10" ht="12.75" customHeight="1">
      <c r="A10" s="10"/>
      <c r="B10" s="10"/>
      <c r="C10" s="10"/>
      <c r="D10" s="10"/>
      <c r="E10" s="10"/>
      <c r="F10" s="10" t="s">
        <v>22</v>
      </c>
      <c r="G10" s="10"/>
    </row>
    <row r="11" ht="12.75" customHeight="1">
      <c r="A11" s="10"/>
      <c r="B11" s="10"/>
      <c r="C11" s="10"/>
      <c r="D11" s="10"/>
      <c r="E11" s="10"/>
      <c r="F11" s="10" t="s">
        <v>22</v>
      </c>
      <c r="G11" s="10"/>
    </row>
    <row r="12" ht="12.75" customHeight="1">
      <c r="A12" s="10"/>
      <c r="B12" s="10"/>
      <c r="C12" s="10"/>
      <c r="D12" s="10"/>
      <c r="E12" s="10"/>
      <c r="F12" s="10" t="s">
        <v>22</v>
      </c>
      <c r="G12" s="10"/>
    </row>
    <row r="13" ht="12.75" customHeight="1">
      <c r="A13" s="10"/>
      <c r="B13" s="10"/>
      <c r="C13" s="10"/>
      <c r="D13" s="10"/>
      <c r="E13" s="10"/>
      <c r="F13" s="10" t="s">
        <v>22</v>
      </c>
      <c r="G13" s="10"/>
    </row>
    <row r="14" ht="12.75" customHeight="1">
      <c r="A14" s="10"/>
      <c r="B14" s="10"/>
      <c r="C14" s="10"/>
      <c r="D14" s="10"/>
      <c r="E14" s="10"/>
      <c r="F14" s="10" t="s">
        <v>22</v>
      </c>
      <c r="G14" s="10"/>
    </row>
    <row r="15" ht="12.75" customHeight="1">
      <c r="A15" s="10"/>
      <c r="B15" s="10"/>
      <c r="C15" s="10"/>
      <c r="D15" s="10"/>
      <c r="E15" s="10"/>
      <c r="F15" s="10" t="s">
        <v>22</v>
      </c>
      <c r="G15" s="1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4:F15">
      <formula1>"Pending,Assigned,Fixed,Closed,Cancelled"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64.0"/>
    <col customWidth="1" min="3" max="5" width="10.0"/>
    <col customWidth="1" min="6" max="6" width="64.0"/>
    <col customWidth="1" min="7" max="26" width="8.88"/>
  </cols>
  <sheetData>
    <row r="1" ht="15.75" customHeight="1">
      <c r="A1" s="6" t="s">
        <v>10</v>
      </c>
    </row>
    <row r="2" ht="12.75" customHeight="1"/>
    <row r="3" ht="12.75" customHeight="1">
      <c r="A3" s="5" t="s">
        <v>13</v>
      </c>
      <c r="B3" s="5" t="s">
        <v>15</v>
      </c>
      <c r="C3" s="5" t="s">
        <v>17</v>
      </c>
      <c r="D3" s="5" t="s">
        <v>5</v>
      </c>
      <c r="E3" s="5" t="s">
        <v>9</v>
      </c>
      <c r="F3" s="5" t="s">
        <v>20</v>
      </c>
    </row>
    <row r="4" ht="15.75" customHeight="1">
      <c r="A4" s="11"/>
      <c r="B4" s="12"/>
      <c r="C4" s="11"/>
      <c r="D4" s="13"/>
      <c r="E4" s="13"/>
      <c r="F4" s="12"/>
    </row>
    <row r="5" ht="15.75" customHeight="1">
      <c r="A5" s="11"/>
      <c r="B5" s="12"/>
      <c r="C5" s="11"/>
      <c r="D5" s="13"/>
      <c r="E5" s="13"/>
      <c r="F5" s="12"/>
    </row>
    <row r="6" ht="15.75" customHeight="1">
      <c r="A6" s="11"/>
      <c r="B6" s="12"/>
      <c r="C6" s="11"/>
      <c r="D6" s="13"/>
      <c r="E6" s="13"/>
      <c r="F6" s="12"/>
    </row>
    <row r="7" ht="15.75" customHeight="1">
      <c r="A7" s="11"/>
      <c r="B7" s="12"/>
      <c r="C7" s="11"/>
      <c r="D7" s="13"/>
      <c r="E7" s="13"/>
      <c r="F7" s="12"/>
    </row>
    <row r="8" ht="15.75" customHeight="1">
      <c r="A8" s="11"/>
      <c r="B8" s="12"/>
      <c r="C8" s="11"/>
      <c r="D8" s="13"/>
      <c r="E8" s="13"/>
      <c r="F8" s="12"/>
    </row>
    <row r="9" ht="15.75" customHeight="1">
      <c r="A9" s="11"/>
      <c r="B9" s="12"/>
      <c r="C9" s="11"/>
      <c r="D9" s="13"/>
      <c r="E9" s="13"/>
      <c r="F9" s="12"/>
    </row>
    <row r="10" ht="15.75" customHeight="1">
      <c r="A10" s="11"/>
      <c r="B10" s="12"/>
      <c r="C10" s="11"/>
      <c r="D10" s="13"/>
      <c r="E10" s="13"/>
      <c r="F10" s="12"/>
    </row>
    <row r="11" ht="15.75" customHeight="1">
      <c r="A11" s="11"/>
      <c r="B11" s="11"/>
      <c r="C11" s="11"/>
      <c r="D11" s="13"/>
      <c r="E11" s="13"/>
      <c r="F11" s="11"/>
    </row>
    <row r="12" ht="15.75" customHeight="1">
      <c r="A12" s="11"/>
      <c r="B12" s="11"/>
      <c r="C12" s="11"/>
      <c r="D12" s="13"/>
      <c r="E12" s="13"/>
      <c r="F12" s="11"/>
    </row>
    <row r="13" ht="15.75" customHeight="1">
      <c r="A13" s="11"/>
      <c r="B13" s="11"/>
      <c r="C13" s="11"/>
      <c r="D13" s="13"/>
      <c r="E13" s="13"/>
      <c r="F13" s="11"/>
    </row>
    <row r="14" ht="15.75" customHeight="1">
      <c r="A14" s="11"/>
      <c r="B14" s="11"/>
      <c r="C14" s="11"/>
      <c r="D14" s="13"/>
      <c r="E14" s="13"/>
      <c r="F14" s="11"/>
    </row>
    <row r="15" ht="15.75" customHeight="1">
      <c r="A15" s="11"/>
      <c r="B15" s="11"/>
      <c r="C15" s="11"/>
      <c r="D15" s="13"/>
      <c r="E15" s="13"/>
      <c r="F15" s="11"/>
    </row>
    <row r="16" ht="15.75" customHeight="1">
      <c r="A16" s="11"/>
      <c r="B16" s="11"/>
      <c r="C16" s="11"/>
      <c r="D16" s="13"/>
      <c r="E16" s="13"/>
      <c r="F16" s="1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4:E16">
      <formula1>"Open,Closed,Cancelled"</formula1>
    </dataValidation>
    <dataValidation type="list" allowBlank="1" showErrorMessage="1" sqref="D4:D16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  <dc:creator>openpyxl</dc:creator>
</cp:coreProperties>
</file>